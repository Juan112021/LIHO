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ALIDAD_\INDICADORES\INTELIGENCIA DE NEGOCIOS\PROTEO\CONTABILIDAD\"/>
    </mc:Choice>
  </mc:AlternateContent>
  <xr:revisionPtr revIDLastSave="0" documentId="13_ncr:1_{92B26C47-4EA4-4D93-8610-CE8E9A98FF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OR DE EXAMENES JUNIO 2026" sheetId="1" r:id="rId1"/>
    <sheet name="DEGLUCION" sheetId="4" r:id="rId2"/>
    <sheet name="crear" sheetId="3" r:id="rId3"/>
    <sheet name="Hoja1" sheetId="2" r:id="rId4"/>
  </sheets>
  <definedNames>
    <definedName name="_xlnm._FilterDatabase" localSheetId="3" hidden="1">Hoja1!$E$1:$E$403</definedName>
    <definedName name="_xlnm._FilterDatabase" localSheetId="0" hidden="1">'VALOR DE EXAMENES JUNIO 2026'!$A$1:$G$413</definedName>
    <definedName name="DatosExternos_1" localSheetId="3" hidden="1">Hoja1!$A$1:$C$491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/>
  <c r="F9" i="4"/>
  <c r="F11" i="4"/>
  <c r="F3" i="4"/>
  <c r="F8" i="4"/>
  <c r="F7" i="4"/>
  <c r="F6" i="4"/>
  <c r="F5" i="4"/>
  <c r="F4" i="4"/>
  <c r="B413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12" i="1"/>
  <c r="B3" i="1"/>
  <c r="B4" i="1"/>
  <c r="B5" i="1"/>
  <c r="B6" i="1"/>
  <c r="B7" i="1"/>
  <c r="B8" i="1"/>
  <c r="B9" i="1"/>
  <c r="B10" i="1"/>
  <c r="B11" i="1"/>
  <c r="B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2EE961-6C00-4D26-A971-B9C8B7C6AD08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<sst xmlns="http://schemas.openxmlformats.org/spreadsheetml/2006/main" count="5370" uniqueCount="1084">
  <si>
    <t>A71060</t>
  </si>
  <si>
    <t>RADIOGRAFÍA DE COLUMNA VERTEBRAL TOTAL CONTRASTADA</t>
  </si>
  <si>
    <t>RXSI</t>
  </si>
  <si>
    <t>A71121</t>
  </si>
  <si>
    <t>PROYECCION ADICIONAL TORAX LATERAL Y OBLICUA</t>
  </si>
  <si>
    <t>ECOG</t>
  </si>
  <si>
    <t>RXES</t>
  </si>
  <si>
    <t>A73111</t>
  </si>
  <si>
    <t>8731110 RADIOGRAF¿A DE OMOPLATO( ESCAPULA</t>
  </si>
  <si>
    <t>A73112</t>
  </si>
  <si>
    <t>8731120 RADIOGRAF¿A DE CLAVICULA COMPARATIVA</t>
  </si>
  <si>
    <t>A73121</t>
  </si>
  <si>
    <t>8731210 RADIOGRAFIA DE HUMERO/BRAZO COMPARATIVA</t>
  </si>
  <si>
    <t>A73122</t>
  </si>
  <si>
    <t>8731220 RADIOGRAF¿A DE RADIO-ULNAR ( ANTEBRAZO ) COMPATATIVA</t>
  </si>
  <si>
    <t>A73204</t>
  </si>
  <si>
    <t>8732040 RADIOGRAF¿A DE HOMBRO COMPARATIVO</t>
  </si>
  <si>
    <t>A73205</t>
  </si>
  <si>
    <t>8732050 RADIOGRAF¿A DE CODO COMPARATIVO</t>
  </si>
  <si>
    <t>A73206</t>
  </si>
  <si>
    <t>8732060 RADIOGRAF¿A DE MUŸECA COMPARATIVA</t>
  </si>
  <si>
    <t>A73210</t>
  </si>
  <si>
    <t>8732100 RADIOGRAFIA DE DEDOS EN MANO COMPARATIVA</t>
  </si>
  <si>
    <t>A73303</t>
  </si>
  <si>
    <t>8733030 RADIOGRAFIA DE PIE AP Y LATERAL COMPARATIVA SIN APOYO</t>
  </si>
  <si>
    <t>A73312</t>
  </si>
  <si>
    <t>8733120 RADIOGRAF¿A DE FEMUR AP Y LATERAL(MUSLO)AP Y LATERAL COMPARATIVA</t>
  </si>
  <si>
    <t>A73313</t>
  </si>
  <si>
    <t>8733130 RADIOGRAFIA DE TIBIA-PERONE ( PIERNA) AP Y LATERAL COMPARATIVA</t>
  </si>
  <si>
    <t>A73333</t>
  </si>
  <si>
    <t>8733330 RADIOGRAFIA DE PIE AP Y LATERAL SIN APOYO</t>
  </si>
  <si>
    <t>A73335</t>
  </si>
  <si>
    <t>8733350 RADIOGRAFIA CALCANEO AXIAL Y LATERAL COMPARATIVO</t>
  </si>
  <si>
    <t>A73420</t>
  </si>
  <si>
    <t>8734200 RADIOGRAFIA DE RODILLA AP, LATERAL COMPARATIVA</t>
  </si>
  <si>
    <t>A73431</t>
  </si>
  <si>
    <t>8734310 RADIOGRAFIA DE TOBILLO AP LATERAL COMPARATIVA SIN APOYO</t>
  </si>
  <si>
    <t>A76802</t>
  </si>
  <si>
    <t>8768011 XEROMAMOGRAFIA O MAMOGRAFIA, BILATERAL</t>
  </si>
  <si>
    <t>MAMO</t>
  </si>
  <si>
    <t>A79116</t>
  </si>
  <si>
    <t>8791160 TOMOGRAFIA AXIAL COMPUTADA DE SILLA TURCA (HIPOFISIS)CONTRASTADA</t>
  </si>
  <si>
    <t>TOHO</t>
  </si>
  <si>
    <t>A79121</t>
  </si>
  <si>
    <t>8791210 TOMOGRAFIA COMPUTADA (TC) DE ORBITAS CONTRASTADO</t>
  </si>
  <si>
    <t>A79122</t>
  </si>
  <si>
    <t>8791220 TOMOGRAFIA COMPUTADA (TC) DE OIDO, PEŸASCO Y CONDUCTO AUDITIVO INTERNO CONTRASTADO</t>
  </si>
  <si>
    <t>A79131</t>
  </si>
  <si>
    <t>8791310 TOMOGRAFIA COMPUTADA (TAC) DE SENOS PARANASALES, HUESOS MAXILARES O CARA CONTRASTADO</t>
  </si>
  <si>
    <t>A79132</t>
  </si>
  <si>
    <t>8791320 TOMOGRAFIA COMPUTADA (TC) DE RINOFARINGE CONTRASTADO</t>
  </si>
  <si>
    <t>A79150</t>
  </si>
  <si>
    <t>8791500 TOMOGRAFIA COMPUTADA (TC) DE ARTICULACION TEMPORO MANDIBULAR (BILATERAL) CONTRASTADA</t>
  </si>
  <si>
    <t>A79161</t>
  </si>
  <si>
    <t>8791610 TOMOGRAFIA COMPUTADA (TC) DE CUELLO (TEJIDOS BLANDOS) CONTRASTADA</t>
  </si>
  <si>
    <t>A79162</t>
  </si>
  <si>
    <t>8791320 TOMOGRAFIA AXIAL COMPUTADA DE LARINGE</t>
  </si>
  <si>
    <t>A79201</t>
  </si>
  <si>
    <t>8792012 TOMOGRAFIA COMPUTADA (TC) COLUMNA CERVICAL SIMPLE</t>
  </si>
  <si>
    <t>A79301</t>
  </si>
  <si>
    <t>8793010 TOMOGRAFIA AXIAL COMPUTADA (TAC) DE TORAX DE ALTA RESOLUCION TCAR</t>
  </si>
  <si>
    <t>A79391</t>
  </si>
  <si>
    <t>8793910 TOMOGRAFIA COMPUTADA (TC) DE TORAX EXTENDIDO AL ABDOMEN TOTAL Y PELVIS -TAC TORACOABDOMINAL- CONTRASTADO</t>
  </si>
  <si>
    <t>A79410</t>
  </si>
  <si>
    <t>8794104 TOMOGRAFIA COMPUTADA (TC) DE ABDOMEN SUPERIOR CONTRASTADO</t>
  </si>
  <si>
    <t>A79420</t>
  </si>
  <si>
    <t>8794204 TOMOGRAFIA COMPUTADA (TC) DE ABDOMEN Y PELVIS (ABDOMEN TOTAL) CONTRASTADO</t>
  </si>
  <si>
    <t>A79460</t>
  </si>
  <si>
    <t>8794600 TOMOGRAFIA COMPUTADA (TC) DE PELVIS CONTRASTADO</t>
  </si>
  <si>
    <t>A79510</t>
  </si>
  <si>
    <t>8795101 TOMOGRAFIA COMPUTADA (TC) DE HOMBRO SIMPLE</t>
  </si>
  <si>
    <t>A79520</t>
  </si>
  <si>
    <t>8795202 TAC DE PIE SIMPLE</t>
  </si>
  <si>
    <t>A79522</t>
  </si>
  <si>
    <t>8795231 TOMOGRAFIA COMPUTADA DINAMICA DE ROTULA(BILATERAL)</t>
  </si>
  <si>
    <t>A81131</t>
  </si>
  <si>
    <t>8811310 ULTRASONOGRAFIA DE TEJIDOS BLANDOS DE CARA (INCLUYE AURICULA) O CUERO CABELLUDO SIN ANALISIS DOPPLER</t>
  </si>
  <si>
    <t>DOPP</t>
  </si>
  <si>
    <t>A81141</t>
  </si>
  <si>
    <t>8811410 ULTRASONOGRAFIA DE TEJIDOS BLANDOS DE CUELLO O REGION CERVICAL POSTERIOR (NUCA) SIN ANALISIS DOPPLER</t>
  </si>
  <si>
    <t>A81201</t>
  </si>
  <si>
    <t>8812011 ULTRASONOGRAFIA DIAGNOSTICA DE MAMA EN HOMBRES</t>
  </si>
  <si>
    <t>A81290</t>
  </si>
  <si>
    <t>8812900 ULTRASONOGRAFIA DE TEJIDOS BLANDOS DE TORAX ANTERIOR O POSTERIOR (NO INCLUYE REGION MAMARIA) SIN ANALISIS</t>
  </si>
  <si>
    <t>A81301</t>
  </si>
  <si>
    <t>8813010 ULTRASONOGRAFIA DE TEJIDOS BLANDOS DE REGION LUMBAR SIN ANALISIS DOPPLER</t>
  </si>
  <si>
    <t>A81318</t>
  </si>
  <si>
    <t>8813180 ULTRASONOGRAFIA TRANSPERIANAL ( ANO Y ESFINTER ANAL)</t>
  </si>
  <si>
    <t>A81432</t>
  </si>
  <si>
    <t>8814342 ULTRASONOGRAFIA OBSTETRICA TRANSVAGINAL</t>
  </si>
  <si>
    <t>A81610</t>
  </si>
  <si>
    <t>8816101 ULTRASONOGRAF¿A ARTICULAR DE HOMBRO BILATERAL</t>
  </si>
  <si>
    <t>A81611</t>
  </si>
  <si>
    <t>8816110 ECOGRAFIA ARTICULAR DE CODO BILATERAL</t>
  </si>
  <si>
    <t>A81612</t>
  </si>
  <si>
    <t>8816120 ECOGRAFIA ARTICULAR DE MUŸECA BILATERAL</t>
  </si>
  <si>
    <t>A81613</t>
  </si>
  <si>
    <t>ECOGRAFIA ARTICULAR DE MANO BILATERAL</t>
  </si>
  <si>
    <t>A81620</t>
  </si>
  <si>
    <t>8816200 ULTRASONOGRAF¿A ARTICULAR DE RODILLA BILATERAL</t>
  </si>
  <si>
    <t>A81621</t>
  </si>
  <si>
    <t>8816211 ECOGRAFIA ARTICULAR DE TOBILLO BIRATERAL</t>
  </si>
  <si>
    <t>A81622</t>
  </si>
  <si>
    <t>8816220 ECOGRAFIA ARTICULAR DE PIE BILATERAL</t>
  </si>
  <si>
    <t>A81630</t>
  </si>
  <si>
    <t>8816300 ECOGRAFIA ARTICULAR DE CADERA PEDIATRICA</t>
  </si>
  <si>
    <t>A82102</t>
  </si>
  <si>
    <t>8821030 ECOGRAFIA DE TEJIDOS BLANDOS EN CARA CON ANALISIS DOPPLER</t>
  </si>
  <si>
    <t>A82103</t>
  </si>
  <si>
    <t>8821030 DUPLEX SCANNING TRANSCRANEAL A COLOR [DOPPLER- ECOGRAFIA]</t>
  </si>
  <si>
    <t>B71060</t>
  </si>
  <si>
    <t xml:space="preserve">8710601 PROYECCION ADICIONAL RADIOGRAFIA DE COLUMNA_x000D_
</t>
  </si>
  <si>
    <t>B73210</t>
  </si>
  <si>
    <t>8732101 RADIOGRAFIA DE MANO</t>
  </si>
  <si>
    <t>B73333</t>
  </si>
  <si>
    <t>8733331 RADIOGRAFIA DE PIE AP Y LATERAL CON APOYO</t>
  </si>
  <si>
    <t>B73431</t>
  </si>
  <si>
    <t>8734311 RADIOGRAFIA DE TOBILLO AP LATERAL COMPARATIVA CON APOYO</t>
  </si>
  <si>
    <t>B79201</t>
  </si>
  <si>
    <t>8792050 TOMOGRAFIA COMPUTADA (TC) COLUMNA CERVICAL CONTRASTADA</t>
  </si>
  <si>
    <t>B79301</t>
  </si>
  <si>
    <t>8793011 TOMOGRAFIA COMPUTADA (TC) DE TORAX CONTRASTADA</t>
  </si>
  <si>
    <t>B79391</t>
  </si>
  <si>
    <t>8793911 TOMOGRAFIA COMPUTADA (TC) DE TORAX EXTENDIDO AL ABDOMEN SUPERIOR CON SUPRARRENALES CONTRASTADA</t>
  </si>
  <si>
    <t>B79421</t>
  </si>
  <si>
    <t>8794210 TOMOGRAFIA COMPUTADA (TC) DE CADERA CONTRASTADA</t>
  </si>
  <si>
    <t>B79510</t>
  </si>
  <si>
    <t>8795102 TOMOGRAFIA COMPUTADA (TC) DE HOMBRO CONTRASTADA</t>
  </si>
  <si>
    <t>B79520</t>
  </si>
  <si>
    <t>8795203 TAC DE PIE CONTRASTADO</t>
  </si>
  <si>
    <t>B81613</t>
  </si>
  <si>
    <t>ECOGRAFIA ARTICULAR DE MANO</t>
  </si>
  <si>
    <t>B81630</t>
  </si>
  <si>
    <t>8816301 ECOGRAFIA ARTICULAR DE CADERA BILATERAL ADULTO</t>
  </si>
  <si>
    <t>B82102</t>
  </si>
  <si>
    <t>8828030 DOPPLER TRANSVAGINAL DE VASOS PELVICOS A COLOR</t>
  </si>
  <si>
    <t>C73210</t>
  </si>
  <si>
    <t>8732102 RADIOGRAFIA DE MANO COMPARATIVA</t>
  </si>
  <si>
    <t>C79201</t>
  </si>
  <si>
    <t>8792013 TOMOGRAFIA COMPUTADA (TC) COLUMNA DORSAL SIMPLE</t>
  </si>
  <si>
    <t>C79510</t>
  </si>
  <si>
    <t>8795103 TOMOGRAFIA COMPUTADA (TC) DE CODO SIMPLE</t>
  </si>
  <si>
    <t>C79520</t>
  </si>
  <si>
    <t>8795204 TAC DE TOBILLO SIMPLE</t>
  </si>
  <si>
    <t>C81613</t>
  </si>
  <si>
    <t>8816132 ECOGRAFIA ARTICULAR DE DEDOS DE LA MANO BILATERAL</t>
  </si>
  <si>
    <t>C81630</t>
  </si>
  <si>
    <t>8816302 ECOGRAFIA ARTICULAR DE CADERA BILATERAL PEDIATRICA</t>
  </si>
  <si>
    <t>D73210</t>
  </si>
  <si>
    <t>8732103 RADIOGRAFIA DE TEST DE ESCAFOIDES</t>
  </si>
  <si>
    <t>D79201</t>
  </si>
  <si>
    <t>8792052 TOMOGRAFIA COMPUTADA (TC) COLUMNA DORSAL CONTRASTADA</t>
  </si>
  <si>
    <t>D79510</t>
  </si>
  <si>
    <t>8795105 TOMOGRAFIA COMPUTADA (TC) DE MUŸECA SIMPLE</t>
  </si>
  <si>
    <t>D79520</t>
  </si>
  <si>
    <t>8795205 TOMOGRAFIA COMPUTADA (TC) DE TOBILLO CONTRASTADA</t>
  </si>
  <si>
    <t>D81613</t>
  </si>
  <si>
    <t>8816130 ECOGRAFIA ARTICULAR DE MANO BILATERAL</t>
  </si>
  <si>
    <t>E79201</t>
  </si>
  <si>
    <t>8792014 TOMOGRAFIA COMPUTADA (TC) COLUMNA LUMBOSACRA SIMPLE</t>
  </si>
  <si>
    <t>E79510</t>
  </si>
  <si>
    <t>8795106 TOMOGRAFIA COMPUTADA (TC) DE MUŸECA CONTRASTADA</t>
  </si>
  <si>
    <t>E79520</t>
  </si>
  <si>
    <t>8795206 TOMOGRAFIA COMPUTADA DE RODILLA SIMPLE</t>
  </si>
  <si>
    <t>F79201</t>
  </si>
  <si>
    <t>8792053TOMOGRAFIA COMPUTADA (TC) COLUMNA LUMBOSACRA CONTRASTADA</t>
  </si>
  <si>
    <t>F79510</t>
  </si>
  <si>
    <t>8795107 TOMOGRAFIA COMPUTADA (TC) DE MANO SIMPLE</t>
  </si>
  <si>
    <t>F79520</t>
  </si>
  <si>
    <t>8795207 TOMOGRAFIA COMPUTADA (TC) DE RODILLA CONTRASTADA</t>
  </si>
  <si>
    <t>G79201</t>
  </si>
  <si>
    <t>8792055 TOMOGRAFIA COMPUTADA (TC) SACRO Y/O COCCIX SIMPLE</t>
  </si>
  <si>
    <t>G79510</t>
  </si>
  <si>
    <t>8795108 TOMOGRAFIA COMPUTADA¿ (TC) DE MANO CONTRASTADA</t>
  </si>
  <si>
    <t>G79520</t>
  </si>
  <si>
    <t>B795208 TOMOGRAFIA COMPUTADA (TC) DE MUSLO (FEMUR) SIMPLE</t>
  </si>
  <si>
    <t>H79201</t>
  </si>
  <si>
    <t>8792056 TOMOGRAFIA COMPUTADA (TC) SACRO Y/O COCCIX CONTRASTADA</t>
  </si>
  <si>
    <t>H79510</t>
  </si>
  <si>
    <t>8795111 TOMOGRAFIA COMPUTADA (TC) DE BRAZO (HUMERO) SIMPLE</t>
  </si>
  <si>
    <t>H79520</t>
  </si>
  <si>
    <t>8795209 TOMOGRAFIA COMPUTADA (TC) DE MUSLO (FEMUR) CONTRASTADA</t>
  </si>
  <si>
    <t>I79510</t>
  </si>
  <si>
    <t>8795112 TOMOGRAFIA COMPUTADA (TC) DE BRAZO (HUMERO) CONTRASTADA</t>
  </si>
  <si>
    <t>I79520</t>
  </si>
  <si>
    <t>8795211 TOMOGRAFIA COMPUTADA (TC) DE PIERNA (TIBIA-PERONE) SIMPLE</t>
  </si>
  <si>
    <t>J79510</t>
  </si>
  <si>
    <t>8795113 TOMOGRAFIA COMPUTADA (TC) DE ANTEBRAZO (RADIO-CUBITO) SIMPLE</t>
  </si>
  <si>
    <t>J79520</t>
  </si>
  <si>
    <t>8795212 TOMOGRAFIA COMPUTADA (TC) DE PIERNA (TIBIA-PERONE) CONTRASTADA</t>
  </si>
  <si>
    <t>K79510</t>
  </si>
  <si>
    <t>8795114 TOMOGRAFIA COMPUTADA (TC) DE ANTEBRAZO (RADIO-CUBITO) CONTRASTADA</t>
  </si>
  <si>
    <t>K79520</t>
  </si>
  <si>
    <t>8795213 TOMOGRAFIA COMPUTADA (TC) DE ARTICULACION SACROILIACA SIMPLE</t>
  </si>
  <si>
    <t>L79510</t>
  </si>
  <si>
    <t>8795115 TOMOGRAFIA COMPUTADA (TC) DEDOS DE LA MANO SIMPLE</t>
  </si>
  <si>
    <t>L79520</t>
  </si>
  <si>
    <t>8795214 TOMOGRAFIA COMPUTADA (TC) DE ARTICULACION SACROILIACA CONTRASTADA</t>
  </si>
  <si>
    <t>M79510</t>
  </si>
  <si>
    <t>8795116 TOMOGRAFIA COMPUTADA (TC) DEDOS DE LA MANO CONTRASTADA</t>
  </si>
  <si>
    <t>P72121</t>
  </si>
  <si>
    <t>872121P RADIOGRAFIA DE VIAS DIGESTIVAS ALTAS CON CONTRASTE SENCILLO (EED)</t>
  </si>
  <si>
    <t>P87912</t>
  </si>
  <si>
    <t xml:space="preserve">879121P TOMOGRAFIA AXIAL COMPUTADA DE ORBITAS CONTRASTADO_x000D_
</t>
  </si>
  <si>
    <t>P87913</t>
  </si>
  <si>
    <t xml:space="preserve">879131P TOMOGRAFIA AXIAL COMPUTADA DE SENOS PARANASALES O CARA (CORTES AXIALES Y C ORONALES) CONTRASTADO_x000D_
_x000D_
</t>
  </si>
  <si>
    <t>P87916</t>
  </si>
  <si>
    <t>879161P TOMOGRAFIA AXIAL COMPUTADA DE CUELLO (TEJIDOS BLANDOS) CONTRASTADO</t>
  </si>
  <si>
    <t>P87930</t>
  </si>
  <si>
    <t>879301P TOMOGRAFIA AXIAL COMPUTADA DE TORAX CONTRASTADO</t>
  </si>
  <si>
    <t>P87941</t>
  </si>
  <si>
    <t xml:space="preserve">879410P TOMOGRAFIA AXIAL COMPUTADA DE ABDOMEN SUPERIOR CONTRASTADO_x000D_
</t>
  </si>
  <si>
    <t>P87942</t>
  </si>
  <si>
    <t xml:space="preserve">879420P TOMOGRAFIA AXIAL COMPUTADA DE ABDOMEN Y  PELVIS (ABDOMEN TOTAL)CONTRASTADO_x000D_
</t>
  </si>
  <si>
    <t>P87946</t>
  </si>
  <si>
    <t>879460P TOMOGRAFIA AXIAL COMPUTADA DE PELVIS CONTRASTADO</t>
  </si>
  <si>
    <t>P87951</t>
  </si>
  <si>
    <t>879510P TOMOGRAFIA AXIAL COMPUTADA DE MIEMBROS SUPERIORES Y ARTICULACIONES CONTRASTADO</t>
  </si>
  <si>
    <t>060100</t>
  </si>
  <si>
    <t>DRENAJE PERCUTANEO DE ABSCESOS O COLECCIONES</t>
  </si>
  <si>
    <t>BIOP</t>
  </si>
  <si>
    <t>061002</t>
  </si>
  <si>
    <t>BIOPSIA DE GLANDULA TIROIDEA VIA PERCUTANEA</t>
  </si>
  <si>
    <t>061100</t>
  </si>
  <si>
    <t>BIOPSIA DE TIROIDES GUIADA POR ECOGRAFIA</t>
  </si>
  <si>
    <t>061302</t>
  </si>
  <si>
    <t>BIOPSIA DE GLANDULA PARATIROIDES</t>
  </si>
  <si>
    <t>212701</t>
  </si>
  <si>
    <t>PORTÁTILES SIN FLUOROSCOPIA E INTENSIFICADOR DE IMAGEN</t>
  </si>
  <si>
    <t>213469</t>
  </si>
  <si>
    <t>BIOPSIA PERCUTANEA POR PUNCION O ASPIRACION</t>
  </si>
  <si>
    <t>261001</t>
  </si>
  <si>
    <t xml:space="preserve">BIOPSIA CERRADA DE GLÁNDULA O CONDUCTO SALIVAL (PUNCIÓN O ASPIRACIÓN CON AGUJA FINA O TRUCUT)
</t>
  </si>
  <si>
    <t>332601</t>
  </si>
  <si>
    <t>BIOPSIA PERCUTÁNEA DE PULMON CON AGUJA FINA O CORTANTE +</t>
  </si>
  <si>
    <t>401101</t>
  </si>
  <si>
    <t>BIOPSIA GANGLIO O VASO LINFATICO SUPERFICIAL</t>
  </si>
  <si>
    <t>501002</t>
  </si>
  <si>
    <t>BIOPSIA CERRADA (PERCUTANEA) (AGUJA) DE HIGADO</t>
  </si>
  <si>
    <t>501004</t>
  </si>
  <si>
    <t xml:space="preserve">BIOPSIA CERRADA PERCUTANEA [AGUJA] DE HIGADO </t>
  </si>
  <si>
    <t>521002</t>
  </si>
  <si>
    <t>BIOPSIA DE PÁNCREAS VÍA PERCUTÁNEA</t>
  </si>
  <si>
    <t>552310</t>
  </si>
  <si>
    <t>BIOPSIA CON AGUJA [PERCUTANEA] O TROCAR DE RIÑON</t>
  </si>
  <si>
    <t>552603</t>
  </si>
  <si>
    <t>BIOPSIA DE RIÑON</t>
  </si>
  <si>
    <t>601101</t>
  </si>
  <si>
    <t>BIOPSIA CERRADA DE PRÓSTATA POR ABORDAJE TRANSRECTAL [PERCUTÁNEA] [CON AGUJA]</t>
  </si>
  <si>
    <t>601102</t>
  </si>
  <si>
    <t>BIOPSIA CERRADA (PERCUTÁNEA) (AGUJA) DE PRÓSTATA POR ABORDAJE PERINEAL</t>
  </si>
  <si>
    <t>61100</t>
  </si>
  <si>
    <t>832101</t>
  </si>
  <si>
    <t>BIOPSIA DE TEJIDO BLANDO: MÚSCULOS, TENDÓN, FASCIA Y BURSA (INCLUYENDO MANO) VÍA ABIERTA</t>
  </si>
  <si>
    <t>851101</t>
  </si>
  <si>
    <t>BIOPSIA POR PUNCION CON AGUJA FINA DE MAMA</t>
  </si>
  <si>
    <t>851102</t>
  </si>
  <si>
    <t>BIOPSIA DE MAMA CON AGUJA TRU-CUT</t>
  </si>
  <si>
    <t>851103</t>
  </si>
  <si>
    <t>BIOPSIA DE MAMA POR ESTEREOTAXIA</t>
  </si>
  <si>
    <t>851301</t>
  </si>
  <si>
    <t>LOCALIZACION DE LESION NO PALPABLE DE MAMA CON ARPON</t>
  </si>
  <si>
    <t>851302</t>
  </si>
  <si>
    <t>LOCALIZACION DE LESION NO PALPABLE DE MAMA POR ESTEREOTAXIA</t>
  </si>
  <si>
    <t>861101</t>
  </si>
  <si>
    <t>DRENAJE DE COLECCION SUPERFICIAL DE PIEL Y/O TEJIDO CELULAR</t>
  </si>
  <si>
    <t>870001</t>
  </si>
  <si>
    <t>RADIOGRAFÍA DE CRANEO SIMPLE</t>
  </si>
  <si>
    <t>870003</t>
  </si>
  <si>
    <t>RADIOGRAFÍA DE BASE DE CRANEO</t>
  </si>
  <si>
    <t>870004</t>
  </si>
  <si>
    <t>RADIOGRAFÍA DE SILLA TURCA</t>
  </si>
  <si>
    <t>870005</t>
  </si>
  <si>
    <t>RADIOGRAFÍA DE MASTOIDES COMPARATIVAS</t>
  </si>
  <si>
    <t>870006</t>
  </si>
  <si>
    <t>RADIOGRAFÍA DE PEÑASCOS</t>
  </si>
  <si>
    <t>870007</t>
  </si>
  <si>
    <t>RADIOGRAFÍA DE CONDUCTO AUDITIVO INTERNO</t>
  </si>
  <si>
    <t>870101</t>
  </si>
  <si>
    <t xml:space="preserve">RADIOGRAFÍA DE CARA (PERFILOGRAMA) </t>
  </si>
  <si>
    <t>870102</t>
  </si>
  <si>
    <t>RADIOGRAFÍA DE ORBITAS</t>
  </si>
  <si>
    <t>870103</t>
  </si>
  <si>
    <t>RADIOGRAFÍA DE AGUJEROS OPTICOS</t>
  </si>
  <si>
    <t>870104</t>
  </si>
  <si>
    <t>RADIOGRAFÍA DE MALAR</t>
  </si>
  <si>
    <t>870105</t>
  </si>
  <si>
    <t>RADIOGRAFÍA DE ARCO CIGOMATICO</t>
  </si>
  <si>
    <t>870107</t>
  </si>
  <si>
    <t>RADIOGRAFÍA DE HUESOS NASALES</t>
  </si>
  <si>
    <t>870108</t>
  </si>
  <si>
    <t>RADIOGRAFÍA DE SENOS PARANASALES</t>
  </si>
  <si>
    <t>870112</t>
  </si>
  <si>
    <t>RADIOGRAFÍA DE MAXILAR SUPERIOR</t>
  </si>
  <si>
    <t>870113</t>
  </si>
  <si>
    <t>RADIOGRAFÍA DE MAXILAR INFERIOR</t>
  </si>
  <si>
    <t>870131</t>
  </si>
  <si>
    <t>RADIOGRAFÍA DE ARTICULACION TEMPOROMAXILAR (ATM)</t>
  </si>
  <si>
    <t>870601</t>
  </si>
  <si>
    <t>RADIOGRAFÍA DE TEJIDOS BLANDOS DE CUELLO</t>
  </si>
  <si>
    <t>870602</t>
  </si>
  <si>
    <t>RADIOGRAFÍA DE CAVUM FARINGEO</t>
  </si>
  <si>
    <t>871010</t>
  </si>
  <si>
    <t>RADIOGRAFÍA DE COLUMNA CERVICAL</t>
  </si>
  <si>
    <t>871019</t>
  </si>
  <si>
    <t>RADIOGRAFÍA DE COLUMNA UNION CERVICO DORSAL</t>
  </si>
  <si>
    <t>871020</t>
  </si>
  <si>
    <t>RADIOGRAFÍA DE COLUMNA TORACICA</t>
  </si>
  <si>
    <t>871030</t>
  </si>
  <si>
    <t>RADIOGRAFÍA DE COLUMNA DORSOLUMBAR</t>
  </si>
  <si>
    <t>871040</t>
  </si>
  <si>
    <t>RADIOGRAFÍA DE COLUMNA LUMBOSACRA</t>
  </si>
  <si>
    <t>871044</t>
  </si>
  <si>
    <t>TEST PARA ESCOLIOSIS</t>
  </si>
  <si>
    <t>871050</t>
  </si>
  <si>
    <t>RADIOGRAFÍA DE SACRO COCCIX</t>
  </si>
  <si>
    <t>871060</t>
  </si>
  <si>
    <t>RADIOGRAFÍA DE COLUMNA VERTEBRAL TOTAL</t>
  </si>
  <si>
    <t>871061</t>
  </si>
  <si>
    <t xml:space="preserve">RADIOGRAFÍA PANORÁMICA DE COLUMNA (GONIOMETRÍA U ORTOGRAMA) FORMATO 14" X 36" (ADULTOS)
</t>
  </si>
  <si>
    <t>871070</t>
  </si>
  <si>
    <t>RADIOGRAFÍA DINÁMICA DE COLUMNA VERTEBRAL</t>
  </si>
  <si>
    <t>871091</t>
  </si>
  <si>
    <t>RADIOGRAFÍA DE ARTICULACIONES SACROILIACAS</t>
  </si>
  <si>
    <t>871111</t>
  </si>
  <si>
    <t>RADIOGRAFÍA DE REJA COSTAL</t>
  </si>
  <si>
    <t>871112</t>
  </si>
  <si>
    <t>RADIOGRAFÍA DE ESTERNÓN</t>
  </si>
  <si>
    <t>871120</t>
  </si>
  <si>
    <t>RADIOGRAFIA DE PROYECCION DE TORAX</t>
  </si>
  <si>
    <t>871121</t>
  </si>
  <si>
    <t xml:space="preserve">RADIOGRAFÍA DE TORAX (P.A. O A.P Y LATERAL, DECUBITO LATERAL, OBLICUAS O LATERAL CON BARIO) </t>
  </si>
  <si>
    <t>871129</t>
  </si>
  <si>
    <t>RADIOGRAFÍA DE ARTICULACIONES ESTERNOCLAVICULARES</t>
  </si>
  <si>
    <t>871202</t>
  </si>
  <si>
    <t>APICOGRAMA</t>
  </si>
  <si>
    <t>871320</t>
  </si>
  <si>
    <t>RADIOGRAFÍA DE ESÓFAGO</t>
  </si>
  <si>
    <t>871403</t>
  </si>
  <si>
    <t>TOMOGRAFIA DE MEDIASTINO Y TRAQUEA</t>
  </si>
  <si>
    <t>872002</t>
  </si>
  <si>
    <t>RADIOGRAFÍA DE ABDOMEN SIMPLE</t>
  </si>
  <si>
    <t>872011</t>
  </si>
  <si>
    <t xml:space="preserve">RADIOGRAFÍA DE ABDOMEN SIMPLE CON PROYECCIONES ADICIONALES (SERIE DE ABDOMEN AGUDO) </t>
  </si>
  <si>
    <t>872070</t>
  </si>
  <si>
    <t>FLUOROSCOPIA GUIA EN PROCEDIMIENTOS INTERVENCIONISTA O QUIRURGICO EN VIAS DIGESTIVAS-RIÑON Y TRACTO URINARIO</t>
  </si>
  <si>
    <t>872101</t>
  </si>
  <si>
    <t>RADIOGRAFÍA DE TRANSITO INTESTINAL CONVENCIONAL</t>
  </si>
  <si>
    <t>872102</t>
  </si>
  <si>
    <t>RADIOGRAFIA DE TRANSITO INTESTINAL DOBLE CONTRASTE</t>
  </si>
  <si>
    <t>872103</t>
  </si>
  <si>
    <t xml:space="preserve">RADIOGRAFÍA DE TRÁNSITO INTESTINAL CON MARCADORES
</t>
  </si>
  <si>
    <t>872104</t>
  </si>
  <si>
    <t>RADIOGRAFÍA DE COLON POR ENEMA O COLON POR INGESTA</t>
  </si>
  <si>
    <t>872105</t>
  </si>
  <si>
    <t>RADIOGRAFÍA DE COLON POR ENEMA CON DOBLE CONTRASTE</t>
  </si>
  <si>
    <t>872121</t>
  </si>
  <si>
    <t>RADIOGRAFÍA DE VÍAS DIGESTIVAS ALTAS (ESÓFAGO, ESTOMAGO Y DUODENO)</t>
  </si>
  <si>
    <t>872122</t>
  </si>
  <si>
    <t>RADIOGRAFÍA DE VÍAS DIGESTIVAS ALTAS (ESÓFAGO, ESTOMAGO Y DUODENO) CON DOBLE CONTRASTE</t>
  </si>
  <si>
    <t>872123</t>
  </si>
  <si>
    <t xml:space="preserve">RADIOGRAFÍA DE VÍAS DIGESTIVAS ALTAS (ESÓFAGO, ESTOMAGO Y DUODENO) Y TRANSITO INTESTINAL </t>
  </si>
  <si>
    <t>872510</t>
  </si>
  <si>
    <t>COLECISTOGRAFIA ORAL</t>
  </si>
  <si>
    <t>873002</t>
  </si>
  <si>
    <t>RADIOGRAFIA DE HUESOS LARGOS SERIE COMPLETA (ESQUELETO AXIAL Y APENDIPULAR)</t>
  </si>
  <si>
    <t>873004</t>
  </si>
  <si>
    <t>RADIOGRAFIA PARA DETECTAR EDAD OSEA CARPOGRAMA</t>
  </si>
  <si>
    <t>873111</t>
  </si>
  <si>
    <t>RADIOGRAFÍA DE OMOPLATO</t>
  </si>
  <si>
    <t>873112</t>
  </si>
  <si>
    <t>RADIOGRAFÍA DE CLAVICULA</t>
  </si>
  <si>
    <t>873121</t>
  </si>
  <si>
    <t>RADIOGRAFIA DE HUMERO/BRAZO</t>
  </si>
  <si>
    <t>873122</t>
  </si>
  <si>
    <t>RADIOGRAFÍA DE ANTEBRAZO</t>
  </si>
  <si>
    <t>873123</t>
  </si>
  <si>
    <t>RADIOGRAFIAS COMPARATIVAS DE EXTREMIDADES SUPERIORES</t>
  </si>
  <si>
    <t>873202</t>
  </si>
  <si>
    <t>RADIOGRAFÍA DE ARTICULACIONES ACROMIO CLAVICULARES COMPARATIVAS</t>
  </si>
  <si>
    <t>873204</t>
  </si>
  <si>
    <t>RADIOGRAFÍA DE HOMBRO</t>
  </si>
  <si>
    <t>873205</t>
  </si>
  <si>
    <t>RADIOGRAFÍA DE CODO</t>
  </si>
  <si>
    <t>873206</t>
  </si>
  <si>
    <t xml:space="preserve">RADIOGRAFÍA DE MUÑECA </t>
  </si>
  <si>
    <t>873210</t>
  </si>
  <si>
    <t xml:space="preserve">RADIOGRAFÍA DE DEDOS EN MANO </t>
  </si>
  <si>
    <t>873241</t>
  </si>
  <si>
    <t>RADIOGRAFIA DE MANO AP Y LATERAL U OBLICUA</t>
  </si>
  <si>
    <t>873302</t>
  </si>
  <si>
    <t xml:space="preserve">RADIOGRAFÍA PARA MEDICION DE MIEMBROS INFERIORES [ESTUDIO DE FARILL U OSTEOMETRIA], ESTUDIO DE PIE PLANO (PIES CON APOYO) </t>
  </si>
  <si>
    <t>873303</t>
  </si>
  <si>
    <t>RADIOGRAFIA COMPARATIVA DE PIES CON APOYO (AP Y LATERAL)</t>
  </si>
  <si>
    <t>873305</t>
  </si>
  <si>
    <t xml:space="preserve">RADIOGRAFÍA PANORÁMICA DE MIEMBROS INFERIORES (GONIOMETRÍA U ORTOGRAMA), EN FORMATO 14" X 36" (ADULTOS)
</t>
  </si>
  <si>
    <t>873311</t>
  </si>
  <si>
    <t>RADIOGRAFIA DE ANTEVERSIÓN FEMORAL</t>
  </si>
  <si>
    <t>873312</t>
  </si>
  <si>
    <t>RADIOGRAFÍA DE FEMUR AP Y LATERAL</t>
  </si>
  <si>
    <t>873313</t>
  </si>
  <si>
    <t>RADIOGRAFIA DE PIERNA AP Y LATERAL</t>
  </si>
  <si>
    <t>873314</t>
  </si>
  <si>
    <t>RADIOGRAFIA DE ANTEVERSION TIBIAL</t>
  </si>
  <si>
    <t>873333</t>
  </si>
  <si>
    <t>RADIOGRAFÍA DE PIE AP Y LATERAL</t>
  </si>
  <si>
    <t>873335</t>
  </si>
  <si>
    <t xml:space="preserve">RADIOGRAFIA CALCANEO AXIAL Y LATERAL </t>
  </si>
  <si>
    <t>873411</t>
  </si>
  <si>
    <t xml:space="preserve">RADIOGRAFÍA DE CADERA  O ARTICULACION COXO-FEMORAL (AP, LATERAL) </t>
  </si>
  <si>
    <t>873412</t>
  </si>
  <si>
    <t>RADIOGRAFÍA DE CADERA COMPARATIVA</t>
  </si>
  <si>
    <t>873414</t>
  </si>
  <si>
    <t>RADIOGRAFIA DE PELVIS O ARTICULACIONES COXOFEMORAL</t>
  </si>
  <si>
    <t>873420</t>
  </si>
  <si>
    <t>RADIOGRAFIA DE RODILLA AP, LATERAL</t>
  </si>
  <si>
    <t>873422</t>
  </si>
  <si>
    <t xml:space="preserve">RADIOGRAFÍA DE RODILLAS COMPARATIVAS POSICION VERTICAL (UNICAMENTE VISTA ANTEROPOSTERIOR) </t>
  </si>
  <si>
    <t>873423</t>
  </si>
  <si>
    <t>RADIOGRAFIA TANGENCIAL O AXIAL DE ROTULA</t>
  </si>
  <si>
    <t>873424</t>
  </si>
  <si>
    <t>RADIOGRAFÍA TANGENCIAL DE ROTULA</t>
  </si>
  <si>
    <t>873426</t>
  </si>
  <si>
    <t xml:space="preserve">RADIOGRAFÍAS AXIALES DE ROTULA O LONGITUD DE MIEMBROS INFERIORES </t>
  </si>
  <si>
    <t>873431</t>
  </si>
  <si>
    <t>RADIOGRAFÍA DE TOBILLO AP LATERAL Y ROTACION INTERNA</t>
  </si>
  <si>
    <t>873432</t>
  </si>
  <si>
    <t>RADIOGRAFÍA DE ANTEPIE AP Y OBLICUA</t>
  </si>
  <si>
    <t>873443</t>
  </si>
  <si>
    <t xml:space="preserve">RADIOGRAFÍAS COMPARATIVAS DE EXTREMIDADES </t>
  </si>
  <si>
    <t>873444</t>
  </si>
  <si>
    <t>RADIOGRAFÍAS EN EXTREMIDADES PROYECCIONES ADICIONALES: STRESS, TUNEL, OBLICUAS</t>
  </si>
  <si>
    <t>873449</t>
  </si>
  <si>
    <t>RADIOGRAFIAS EN PROYECCIONES ADICIONALES DE CADERA O PELVIS INCLUYE PROYECCIONES DE ENTRADA SALIDA OBTURADORA O RANA</t>
  </si>
  <si>
    <t>874910</t>
  </si>
  <si>
    <t>DEGLUCION-ESOFAGOGRAMA, CON CINE O VIDEO GRABACION (INCLUYE ESTUDIO DE ESOFAGO)</t>
  </si>
  <si>
    <t>876801</t>
  </si>
  <si>
    <t>XEROMAMOGRAFIA O MAMOGRAFIA UNILATERAL O DE PIEZA QUIRURGICA</t>
  </si>
  <si>
    <t>876802</t>
  </si>
  <si>
    <t>XEROMAMOGRAFIA O MAMOGRAFIA, BILATERAL</t>
  </si>
  <si>
    <t>877601</t>
  </si>
  <si>
    <t>COLANGIOGRAFIA POR TUBO EN LA VÍA BILIAR [PERCUTÁNEA]</t>
  </si>
  <si>
    <t>877802</t>
  </si>
  <si>
    <t xml:space="preserve">UROGRAFIA INTRAVENOSA </t>
  </si>
  <si>
    <t>877851</t>
  </si>
  <si>
    <t>RADIOGRAFIA CISTOGRAFIA O CISTOURETROGRAFIA</t>
  </si>
  <si>
    <t>877861</t>
  </si>
  <si>
    <t>URETROCISTOGRAFIA MICCIONAL Y RETROGRADA</t>
  </si>
  <si>
    <t>877862</t>
  </si>
  <si>
    <t>URETROCISTOGRAFIA MICCIONAL</t>
  </si>
  <si>
    <t>877863</t>
  </si>
  <si>
    <t>URETROCISTOGRAFIA RETROGRADA</t>
  </si>
  <si>
    <t>877871</t>
  </si>
  <si>
    <t>URETROGRAFÍA RETRÓGRADA</t>
  </si>
  <si>
    <t>877901</t>
  </si>
  <si>
    <t xml:space="preserve">HISTEROSALPINGOGRAFIA </t>
  </si>
  <si>
    <t>879111</t>
  </si>
  <si>
    <t xml:space="preserve">TOMOGRAFÍA AXIAL COMPUTADA DE CRANEO SIMPLE </t>
  </si>
  <si>
    <t>879112</t>
  </si>
  <si>
    <t>TOMOGRAFIA AXIAL COMPUTADA DE CRANEO CON CONTRASTE</t>
  </si>
  <si>
    <t>879113</t>
  </si>
  <si>
    <t>TOMOGRAFIA AXIAL COMPUTADA DE CRANEO SIMPLE Y CON CONTRASTE</t>
  </si>
  <si>
    <t>879116</t>
  </si>
  <si>
    <t>TOMOGRAFIA AXIAL COMPUTADA DE SILLA TURCA (HIPOFISIS)</t>
  </si>
  <si>
    <t>879121</t>
  </si>
  <si>
    <t>TOMOGRAFIA AXIAL COMPUTADA DE ORBITAS (CORTES AXIALES Y CORONALES)</t>
  </si>
  <si>
    <t>879122</t>
  </si>
  <si>
    <t>TOMOGRAFIA AXIAL COMPUTADA DE OIDO, PEÑASCO Y CONDUCTO AUDITIVO INTERNO (CORTES AXIALES Y CORONALES)-</t>
  </si>
  <si>
    <t>879131</t>
  </si>
  <si>
    <t>TOMOGRAFIA AXIAL COMPUTADA (TAC) DE SENOS PARANASALES O CARA (CORTES AXIALES Y CORONALES)</t>
  </si>
  <si>
    <t>879132</t>
  </si>
  <si>
    <t>TOMOGRAFIA COMPUTADA (TC) DE RINOFARINGE (CORTES AXIALES Y CORONALES)</t>
  </si>
  <si>
    <t>879141</t>
  </si>
  <si>
    <t xml:space="preserve">TOMOGRAFIA DE MAXILARES </t>
  </si>
  <si>
    <t>879150</t>
  </si>
  <si>
    <t xml:space="preserve">TOMOGRAFIA AXIAL COMPUTADA DE ARTICULACION TEMPORO MANDIBULAR (BILATERAL) </t>
  </si>
  <si>
    <t>879161</t>
  </si>
  <si>
    <t>TOMOGRAFIA AXIAL COMPUTADA DE CUELLO (TEJIDOS BLANDOS)</t>
  </si>
  <si>
    <t>879162</t>
  </si>
  <si>
    <t>TOMOGRAFIA AXIAL COMPUTADA DE LARINGE</t>
  </si>
  <si>
    <t>879201</t>
  </si>
  <si>
    <t>TOMOGRAFIA AXIAL COMPUTADA DE COLUMNA SEGMENTOS CERVICAL, TORACICO,  LUMBAR Y/O SACRO,  POR CADA NIVEL (TRES ESPACIOS)</t>
  </si>
  <si>
    <t>879205</t>
  </si>
  <si>
    <t>TOMOGRAFIA AXIAL COMPUTADA DE COLUMNA SEGMENTOS CERVICAL, TORACICO,  LUMBAR Y/O SACRO,  COMPLEMENTO A MIELOGRAFIA (CADA SEGMENTO)</t>
  </si>
  <si>
    <t>879301</t>
  </si>
  <si>
    <t>TOMOGRAFIA AXIAL COMPUTADA DE TORAX</t>
  </si>
  <si>
    <t>879391</t>
  </si>
  <si>
    <t>TOMOGRAFIA AXIAL COMPUTADA DE TORAX EXTENDIDO AL ABDOMEN SUPERIOR CON SUPRARRENALES</t>
  </si>
  <si>
    <t>879410</t>
  </si>
  <si>
    <t>TOMOGRAFIA AXIAL COMPUTADA DE ABDOMEN SUPERIOR</t>
  </si>
  <si>
    <t>879420</t>
  </si>
  <si>
    <t>TOMOGRAFIA AXIAL COMPUTADA DE ABDOMEN Y  PELVIS (ABDOMEN TOTAL)</t>
  </si>
  <si>
    <t>879421</t>
  </si>
  <si>
    <t>TOMOGRAFIA COMPUTADA DE CADERA</t>
  </si>
  <si>
    <t>879430</t>
  </si>
  <si>
    <t xml:space="preserve">TOMOGRAFIA COMPUTADA DE VIAS URINARIAS [UROTC]
</t>
  </si>
  <si>
    <t>879460</t>
  </si>
  <si>
    <t>TOMOGRAFIA AXIAL COMPUTADA DE PELVIS</t>
  </si>
  <si>
    <t>879510</t>
  </si>
  <si>
    <t>TOMOGRAFIA AXIAL COMPUTADA DE MIEMBROS SUPERIORES Y ARTICULACIONES</t>
  </si>
  <si>
    <t>879520</t>
  </si>
  <si>
    <t>TOMOGRAFIA AXIAL COMPUTADA DE MIEMBROS INFERIORES Y ARTICULACIONES</t>
  </si>
  <si>
    <t>879522</t>
  </si>
  <si>
    <t>TOMOGRAFIA COMPUTADA (TC) DE MIEMBROS INFERIORES: ANTEVERSION FEMORAL O TORSION TIBIAL</t>
  </si>
  <si>
    <t>879524</t>
  </si>
  <si>
    <t>TOMOGRAFIA AXIAL COMPUTADA CON MODALIDAD DINAMICA (SECUENCIA RAPIDA)</t>
  </si>
  <si>
    <t>879901</t>
  </si>
  <si>
    <t>ANGIOTAC AORTA TORACICA</t>
  </si>
  <si>
    <t>879910</t>
  </si>
  <si>
    <t>TOMOGRAFIA AXIAL COMPUTADA EN RECONSTRUCCION TRIDIMENSIONAL</t>
  </si>
  <si>
    <t>879920</t>
  </si>
  <si>
    <t>TOMOGRAFIA COMPUTADA CON MODALIDAD DINAMICA (SECUENCIA RAPIDA)</t>
  </si>
  <si>
    <t>879985</t>
  </si>
  <si>
    <t>UROTAC</t>
  </si>
  <si>
    <t>881034</t>
  </si>
  <si>
    <t>ECOGRAFIA DE III NIVEL</t>
  </si>
  <si>
    <t>881100</t>
  </si>
  <si>
    <t>ULTRASONOGRAFIA DE CUELLO, CARA Y CABEZA</t>
  </si>
  <si>
    <t>881112</t>
  </si>
  <si>
    <t xml:space="preserve">ULTRASONOGRAFIA DIAGNOSTICA CEREBRAL TRANSFONTANELAR CON TRANSDUCTOR DE 7.MHZ O MÁS </t>
  </si>
  <si>
    <t>881118</t>
  </si>
  <si>
    <t xml:space="preserve">ULTRASONOGRAFIA DIAGNOSTICA CEREBRAL TRANSFONTANELAR CON ANALISIS DOPPLER </t>
  </si>
  <si>
    <t>881130</t>
  </si>
  <si>
    <t>ECOGRAFIA DE TEJIDOS BLANDOS DE CARA</t>
  </si>
  <si>
    <t>881131</t>
  </si>
  <si>
    <t>ULTRASONOGRAFIA DIAGNOSTICA DE GLANDULAS SALIVARES CON TRANSDUCTOR DE 7 MHZ O MAS</t>
  </si>
  <si>
    <t>881132</t>
  </si>
  <si>
    <t>ECOGRAFIA DE TEJIDOS BLANDOS DE CUELLO</t>
  </si>
  <si>
    <t>881134</t>
  </si>
  <si>
    <t>ULTRASONOGRAFIA DOPPLER OBSTETRICA CON PERFIL BIOFISICO</t>
  </si>
  <si>
    <t>881135</t>
  </si>
  <si>
    <t>881141</t>
  </si>
  <si>
    <t>ULTRASONOGRAFÍA DIAGNOSTICA DE TIROIDES CON TRANSDUCTOR DE 7 MHZ O MAS</t>
  </si>
  <si>
    <t>88120C</t>
  </si>
  <si>
    <t>ECOGRAFIA DE MAMA</t>
  </si>
  <si>
    <t>881201</t>
  </si>
  <si>
    <t>ULTRASONOGRAFIA DIAGNOSTICA DE MAMA, CON TRANSDUCTOR DE 7 MHZ O MÁS</t>
  </si>
  <si>
    <t>881211</t>
  </si>
  <si>
    <t>ECOGRAFIA DE TORAX</t>
  </si>
  <si>
    <t>881212</t>
  </si>
  <si>
    <t>ECOGRAFIA DE OTROS SITIOS TORACICOS</t>
  </si>
  <si>
    <t>881220</t>
  </si>
  <si>
    <t>GUIA ECOGRAFICA PARA PROCEDIMIENTOS DE MAMA, ACR</t>
  </si>
  <si>
    <t>881221</t>
  </si>
  <si>
    <t>881240</t>
  </si>
  <si>
    <t>ULTRASONOGRAFIA DIAGNOSTICA DE TORAX: PERICARDIO O PLEURA</t>
  </si>
  <si>
    <t>881290</t>
  </si>
  <si>
    <t>ULTRASONOGRAFIA DIAGNOSTICA DE OTROS SITIOS TORACICOS (INCLUYE LESIONES DE COSTILLAS, OSEAS Y TEJIDOS BLANDOS DEL TORAX ANT Y POST)</t>
  </si>
  <si>
    <t>881301</t>
  </si>
  <si>
    <t>ULTRASONOGRAFÍA DIAGNOSTICA DE TEJIDOS BLANDOS PARED ABDOMINAL Y DE PELVIS</t>
  </si>
  <si>
    <t>881302</t>
  </si>
  <si>
    <t>ULTRASONOGRAFÍA DE ABDOMEN TOTAL: HIGADO, PÁNCREAS, VESICULA, VÍAS BILIARES, RIÑONES, BAZO, GRANDES VASOS, PELVIS Y FLANCOS</t>
  </si>
  <si>
    <t>881305</t>
  </si>
  <si>
    <t xml:space="preserve">ULTRASONOGRAFÍA DE ABDOMEN SUPERIOR: HIGADO, PÁNCREAS, VÍAS BILIARES, RIÑONES, BAZO Y GRANDES VASOS </t>
  </si>
  <si>
    <t>881306</t>
  </si>
  <si>
    <t>ULTRASONOGRAFIA DE HIGADO, PÁNCREAS, VÍA BILIAR Y VESICULA</t>
  </si>
  <si>
    <t>881313</t>
  </si>
  <si>
    <t>ULTRASONOGRAFIA DE ABDOMEN:PILORO</t>
  </si>
  <si>
    <t>881318</t>
  </si>
  <si>
    <t>ULTRASONOGRAFIA DE RECTO</t>
  </si>
  <si>
    <t>881320</t>
  </si>
  <si>
    <t>ECOGRAFIA DE ANO</t>
  </si>
  <si>
    <t>881331</t>
  </si>
  <si>
    <t>ULTRASONOGRAFIA DE RIÑONES, BAZO, AORTA O ADRENALES</t>
  </si>
  <si>
    <t>881332</t>
  </si>
  <si>
    <t>ULTRASONOGRAFIA DE VÍAS URINARIAS (RIÑONES, VEJIGA Y PROSTATA TRANSABDOMINAL)</t>
  </si>
  <si>
    <t>881340</t>
  </si>
  <si>
    <t>ULTRASONOGRAFIA DE ABDOMEN: MASAS ABDOMINALES Y DE RETROPERITONEO</t>
  </si>
  <si>
    <t>881360</t>
  </si>
  <si>
    <t>ECOGRAFÍA PELVICA CON ANÁLISIS DOPPLER</t>
  </si>
  <si>
    <t>881362</t>
  </si>
  <si>
    <t>ULTRASONOGRAFIA DE MASAS DE TEJIDOS BLANDOS DE ABDOMEN CON ANALISIS DOPPLER</t>
  </si>
  <si>
    <t>881390</t>
  </si>
  <si>
    <t>ECOGRAFÍA DEL ABDOMEN Y PELVIS COMO GUÍA DE PROCEDIMIENTO QUIRÚRGICO O INTERVENCIONISTA</t>
  </si>
  <si>
    <t>881401</t>
  </si>
  <si>
    <t>ULTRASONOGRAFÍA PELVICA GINECOLOGICA TRANSVAGINAL</t>
  </si>
  <si>
    <t>881402</t>
  </si>
  <si>
    <t>ULTRASONOGRAFÍA PELVICA GINECOLOGICA TRANSABDOMINAL</t>
  </si>
  <si>
    <t>881410</t>
  </si>
  <si>
    <t>HISTEROSONOGRAFIA</t>
  </si>
  <si>
    <t>881431</t>
  </si>
  <si>
    <t>ULTRASONOGRAFÍA OBSTETRICA TRANSABDOMINAL</t>
  </si>
  <si>
    <t>881432</t>
  </si>
  <si>
    <t>ULTRASONOGRAFIA OBSTETRICA TRANSVAGINAL</t>
  </si>
  <si>
    <t>881433</t>
  </si>
  <si>
    <t>ULTRASONOGRAFIA NIVEL III</t>
  </si>
  <si>
    <t>881434</t>
  </si>
  <si>
    <t>ULTRANONOGRAFIA OBSTETRICA CON PERFIL BIOFSICO</t>
  </si>
  <si>
    <t>881435</t>
  </si>
  <si>
    <t>ULTRASONOGRAFIA DOPPLER OBSTETRICA CON EVALUACIÓN DE CIRCULACION PLACENTARIA Y FETAL</t>
  </si>
  <si>
    <t>881501</t>
  </si>
  <si>
    <t>ULTRASONOGRAFÍA DE PROSTATA TRANSABDOMINAL</t>
  </si>
  <si>
    <t>881502</t>
  </si>
  <si>
    <t>ULTRASONOGRAFÍA DE PROSTATA TRANSRECTAL</t>
  </si>
  <si>
    <t>881510</t>
  </si>
  <si>
    <t xml:space="preserve">ULTRASONOGRAFÍA TESTICULAR CON TRANSDUCTOR DE 7 MHZ O MÁS </t>
  </si>
  <si>
    <t>881511</t>
  </si>
  <si>
    <t>ULTRASONOGRAFÍA TESTICULAR CON ANALISIS DOPPLER</t>
  </si>
  <si>
    <t>881521</t>
  </si>
  <si>
    <t xml:space="preserve">ULTRASONOGRAFÍA DE PENE CON TRANSDUCTOR DE 7 MHZ O MÁS </t>
  </si>
  <si>
    <t>881601</t>
  </si>
  <si>
    <t>ULTRASONOGRAFIA DE TEJIDOS BLANDOS EN LA EXTREMIDADES SUPERIORES CON TRANSDUCTOR DE 7MHZ O MAS</t>
  </si>
  <si>
    <t>881602</t>
  </si>
  <si>
    <t>ULTRASONOGRAFÍA DE TEJIDOS BLANDOS EN LAS EXTREMIDADES INFERIORES CON TRANSDUCTOR DE 7 MHZ O MÁS</t>
  </si>
  <si>
    <t>881610</t>
  </si>
  <si>
    <t>ULTRASONOGRAFÍA ARTICULAR DE HOMBRO</t>
  </si>
  <si>
    <t>881611</t>
  </si>
  <si>
    <t>ECOGRAFIA ARTICULAR DE CODO</t>
  </si>
  <si>
    <t>881612</t>
  </si>
  <si>
    <t>ECOGRAFIA ARTICULAR DE PUÑO (MUÑECA)</t>
  </si>
  <si>
    <t>881613</t>
  </si>
  <si>
    <t>881620</t>
  </si>
  <si>
    <t>ULTRASONOGRAFÍA ARTICULAR DE RODILLA</t>
  </si>
  <si>
    <t>881621</t>
  </si>
  <si>
    <t>ECOGRAFIA ARTICULAR DE TOBILLO</t>
  </si>
  <si>
    <t>881622</t>
  </si>
  <si>
    <t xml:space="preserve">ECOGRAFIA ARTICULAR DE PIE
</t>
  </si>
  <si>
    <t>881630</t>
  </si>
  <si>
    <t xml:space="preserve">ULTRASONOGRAFÍA ARTICULAR DE CADERA </t>
  </si>
  <si>
    <t>881640</t>
  </si>
  <si>
    <t>ULTRASONOGRAFÍA  DE CALCANEO</t>
  </si>
  <si>
    <t>881701</t>
  </si>
  <si>
    <t xml:space="preserve">ECOGRAFÍA COMO GUÍA PARA PROCEDIMIENTOS
</t>
  </si>
  <si>
    <t>882101</t>
  </si>
  <si>
    <t>DOPPLER TRANSCRANEAL</t>
  </si>
  <si>
    <t>882102</t>
  </si>
  <si>
    <t>DUPLEX SCANNING TRANSCRANEAL [DOPPLER- ECOGRAFIA]</t>
  </si>
  <si>
    <t>882103</t>
  </si>
  <si>
    <t>DUPLEX SCANNING TRANSCRANEAL A COLOR [DOPPLER- ECOGRAFIA]</t>
  </si>
  <si>
    <t>882106</t>
  </si>
  <si>
    <t>DOPPLER ARTERIAS TEMPORALES</t>
  </si>
  <si>
    <t>882110</t>
  </si>
  <si>
    <t>DOPPLER DE VASOS DEL CUELLO (CAROTIDAS, VERTEBRALES, YUGULAR)</t>
  </si>
  <si>
    <t>882111</t>
  </si>
  <si>
    <t>DUPLEX SCANNING DE VASOS DEL CUELLO (CAROTIDAS, VERTEBRALES, YUGULAR) [DOPPLER- ECOGRAFIA]</t>
  </si>
  <si>
    <t>882112</t>
  </si>
  <si>
    <t>DUPLEX SCANNING DE VASOS DELCUELLO (CAROTIDAS, VERTEBRALES, YUGULAR) A COLOR [DOPPLER- ECOGRAFIA]</t>
  </si>
  <si>
    <t>882130</t>
  </si>
  <si>
    <t>DOPPLER DE OTROS VASOS PERIFERICOS DEL CUELLO NCOC</t>
  </si>
  <si>
    <t>882131</t>
  </si>
  <si>
    <t xml:space="preserve">DUPLEX SCANNING [DOPPLER- ECOGRAFIA] DE OTROS VASOS PERIFERICOS DEL CUELLO NCOC </t>
  </si>
  <si>
    <t>882132</t>
  </si>
  <si>
    <t>DUPLEX SCANNING DE OTROS VASOS PERIFERICOS DEL CUELLO A COLOR [DOPPLER- ECOGRAFIA]</t>
  </si>
  <si>
    <t>882201</t>
  </si>
  <si>
    <t>DOPPLER VASOS ABDOMINALES Y/O PELVICOS</t>
  </si>
  <si>
    <t>882202</t>
  </si>
  <si>
    <t xml:space="preserve">DUPLEX SCANNING (DOPPLER-ECOGRAFIA) DE VASOS ABDOMINALES  Y/ PELVICOS NCOC </t>
  </si>
  <si>
    <t>882203</t>
  </si>
  <si>
    <t>DUPLEX SCANNING DE VASOS ABDOMINALES Y/O PELVIS A COLOR (DOPPLER-ECOGRAFIA)</t>
  </si>
  <si>
    <t>882210</t>
  </si>
  <si>
    <t>DOPPLER DE AORTA ABDOMINAL</t>
  </si>
  <si>
    <t>882211</t>
  </si>
  <si>
    <t>DUPLEX SCANNING DE AORTA ABDOMINAL [DOPPLER- ECOGRAFIA]</t>
  </si>
  <si>
    <t>882212</t>
  </si>
  <si>
    <t>DUPLEX SCANNING [DOPPLER- ECOGRAFIA] DE AORTA ABDOMINAL A COLOR</t>
  </si>
  <si>
    <t>882220</t>
  </si>
  <si>
    <t>DOPPLER DE VASOS RENALES</t>
  </si>
  <si>
    <t>882221</t>
  </si>
  <si>
    <t>DUPLEX SCANNING DE ARTERIAS RENALES (DOPPLER-ECOGRAFIA)</t>
  </si>
  <si>
    <t>882222</t>
  </si>
  <si>
    <t>ECOGRAFÍA DOPPLER DE ARTERIAS RENALES</t>
  </si>
  <si>
    <t>882232</t>
  </si>
  <si>
    <t>ECOGRAFÍA DOPPLER DE ARTERIAS MESENTÉRICAS</t>
  </si>
  <si>
    <t>882250</t>
  </si>
  <si>
    <t>DOPPLER DE VENA CAVA</t>
  </si>
  <si>
    <t>882251</t>
  </si>
  <si>
    <t>DUPLEX SCANNIG DE VENA CAVA (DOPPLER-ECOGRAFIA)</t>
  </si>
  <si>
    <t>882252</t>
  </si>
  <si>
    <t>ECOGRAFIA DOPPLER DE VENA CAVA</t>
  </si>
  <si>
    <t>882271</t>
  </si>
  <si>
    <t>TRIPLEX SCANNING DE VASOS DEL PENE (DOPPLER-ECOGRAFIA)</t>
  </si>
  <si>
    <t>882272</t>
  </si>
  <si>
    <t xml:space="preserve">ECOGRAFÍA TRIPLEX DE VASOS DEL PENE
</t>
  </si>
  <si>
    <t>882281</t>
  </si>
  <si>
    <t>DUPLEX SCANNING DE VASOS ESCROTALES (DOPPLER-ECOGRAFIA)</t>
  </si>
  <si>
    <t>882282</t>
  </si>
  <si>
    <t>DUPLEX SCANNING VASOS ESCROTALES A COLOR (DOPPLER - ECOGRAFIA)</t>
  </si>
  <si>
    <t>882290</t>
  </si>
  <si>
    <t xml:space="preserve">DUPPLEX SCANNING MASAS DE TEJIDOS BLANDOS(DOPPLER-ECOGRAFIA) </t>
  </si>
  <si>
    <t>882291</t>
  </si>
  <si>
    <t>DUPLEX SCANNING CON EVALUACIÓN DE FLUJO SANGUINEO EN MASAS ABDOMINALES [DOPPLER- ECOGRAFIA]</t>
  </si>
  <si>
    <t>882292</t>
  </si>
  <si>
    <t>DUPLEX SCANNING CON EVALUACIÓN DE FLUJO SANGUINEO EN MASAS ABDOMINALES A COLOR [DOPPLER- ECOGRAFIA]</t>
  </si>
  <si>
    <t>882293</t>
  </si>
  <si>
    <t>DUPLEX SCANNING CON EVALUACION DE FLUJO SANGUINEO EN MASAS PELVICAS [DOPPLER- ECOGRAFIA]</t>
  </si>
  <si>
    <t>882294</t>
  </si>
  <si>
    <t>DUPLEX SCANNING [DOPPLER- ECOGRAFIA] CON EVALUACION DE FLUJO SANGUINEO EN MASAS PELVICAS A COLOR</t>
  </si>
  <si>
    <t>882295</t>
  </si>
  <si>
    <t>DUPLEX SCANNING CON EVALUACION DE FLUJO SANGUINEO EN HIPERTENSION PORTAL [DOPPLER- ECOGRAFIA]</t>
  </si>
  <si>
    <t>882296</t>
  </si>
  <si>
    <t>DUPLEX SCANNING CON EVALUACION DE FLUJO SANGUINEO EN HIPERTENSION PORTAL A COLOR [DOPPLER- ECOGRAFIA]</t>
  </si>
  <si>
    <t>882298</t>
  </si>
  <si>
    <t>DOPPLER OBSTETRICO CON EVALUACIÓN DE CIRCULACIÓN PLACENTARIA</t>
  </si>
  <si>
    <t>882307</t>
  </si>
  <si>
    <t>ECOGRAFIA DOPPLER DE VASOS ARTERIALES DE MIEMBROS SUPERIORES</t>
  </si>
  <si>
    <t>882308</t>
  </si>
  <si>
    <t>ECOGRAFIA DOPPLER DE VASOS ARTERIALES DE MIEMBROS INFERIORES</t>
  </si>
  <si>
    <t>882309</t>
  </si>
  <si>
    <t>ECOGRAFÍA DOPPLER DE VASOS VENOSOS DE MIEMBROS SUPERIORES</t>
  </si>
  <si>
    <t>882310</t>
  </si>
  <si>
    <t xml:space="preserve">DOPPLER DE VASOS ARTERIALES DE MIEMBROS SUPERIORES </t>
  </si>
  <si>
    <t>882311</t>
  </si>
  <si>
    <t xml:space="preserve">DOPPLER DE VASOS VENOSOS DE MIEMBROS SUPERIORES </t>
  </si>
  <si>
    <t>882312</t>
  </si>
  <si>
    <t>DUPLEX SCANNING DE VASOS ARTERIALES DE MIEMBROS SUPERIORES [DOPPLER- ECOGRAFIA]</t>
  </si>
  <si>
    <t>882313</t>
  </si>
  <si>
    <t>DUPLEX SCANNING DE VASOS VENOSOS DE MIEMBROS SUPERIORES [DOPPLER- ECOGRAFIA]</t>
  </si>
  <si>
    <t>882314</t>
  </si>
  <si>
    <t>DUPLEX SCANNING DE VASOS ARTERIALES DE MIEMBROS SUPERIORES A COLOR [DOPPLER- ECOGRAFIA]</t>
  </si>
  <si>
    <t>882315</t>
  </si>
  <si>
    <t>DUPLEX SCANNING DE VASOS VENOSOS DE MIEMBROS SUPERIORES A COLOR [DOPPLER- ECOGRAFIA]</t>
  </si>
  <si>
    <t>882316</t>
  </si>
  <si>
    <t>ECOGRAFIA DOPPLER DE VASOS VENOSOS DE MIEMBRO SUPERIOR</t>
  </si>
  <si>
    <t>882317</t>
  </si>
  <si>
    <t>ECOGRAFÍA DOPPLER DE VASOS VENOSOS DE MIEMBROS INFERIORES</t>
  </si>
  <si>
    <t>882318</t>
  </si>
  <si>
    <t>ECOGRAFIA DOPPLER DE VASOS VENOSOS DE MIEMBRO INFERIOR</t>
  </si>
  <si>
    <t>882330</t>
  </si>
  <si>
    <t>DOPPLER DE VASOS ARTERIALES DE MIEMBROS INFERIORES</t>
  </si>
  <si>
    <t>882331</t>
  </si>
  <si>
    <t>DOPPLER DE VASOS VENOSOS DE MIEMBROS INFERIORES</t>
  </si>
  <si>
    <t>882332</t>
  </si>
  <si>
    <t>DUPLEX SCANNING DE VASOS ARTERIALES DE MIEMBROS INFERIORES [DOPPLER- ECOGRAFIA]</t>
  </si>
  <si>
    <t>882333</t>
  </si>
  <si>
    <t>DUPLEX SCANNING [DOPPLER- ECOGRAFIA] DE VASOS VENOSOS DE MIEMBROS INFERIORES</t>
  </si>
  <si>
    <t>882334</t>
  </si>
  <si>
    <t>DUPLEX SCANNING DE VASOS ARTERIALES DE MIEMBROS INFERIORES A COLOR [DOPPLER- ECOGRAFIA]</t>
  </si>
  <si>
    <t>882335</t>
  </si>
  <si>
    <t>DUPLEX SCANNING DE VASOS VENOSOS DE MIEMBROS INFERIORES A COLOR [DOPPLER- ECOGRAFIA]</t>
  </si>
  <si>
    <t>882600</t>
  </si>
  <si>
    <t>OTROS ORGANOS TRASPLANTADOS CON DOPPLER</t>
  </si>
  <si>
    <t>882601</t>
  </si>
  <si>
    <t>OTROS ORGANOS TRASPLANTADOS CON DOPPLER A COLOR</t>
  </si>
  <si>
    <t>882602</t>
  </si>
  <si>
    <t>ECOGRAFIA DOPPLER DE OTROS ORGANOS TRASPLANTADOS</t>
  </si>
  <si>
    <t>882603</t>
  </si>
  <si>
    <t>ECOGRAFIA DOPPLER DE RIÑON TRASPLANTADO</t>
  </si>
  <si>
    <t>882610</t>
  </si>
  <si>
    <t>DUPLEX SCANNING DE RIÑON TRASPLANTADO [DOPPLER- ECOGRAFIA]</t>
  </si>
  <si>
    <t>882611</t>
  </si>
  <si>
    <t>DUPLEX SCANNING DE RIÑON TRASPLANTADO A COLOR [DOPPLER- ECOGRAFIA]</t>
  </si>
  <si>
    <t>882801</t>
  </si>
  <si>
    <t>ECOGRAFIA DOPPLER DE VASOS</t>
  </si>
  <si>
    <t>890202</t>
  </si>
  <si>
    <t>CONSULTA MEDICINA ESPECIALIZADA</t>
  </si>
  <si>
    <t>CONS</t>
  </si>
  <si>
    <t>890224</t>
  </si>
  <si>
    <t>CONSULTA ESPECIALIZADA POR DOLOR</t>
  </si>
  <si>
    <t>890243</t>
  </si>
  <si>
    <t xml:space="preserve">CONSULTA DE PRIMERA VEZ POR ESPECIALISTA EN DOLOR Y CUIDADOS PALIATIVOS </t>
  </si>
  <si>
    <t>890343</t>
  </si>
  <si>
    <t xml:space="preserve">CONSULTA DE CONTROL O SEGUIMIENTO POR ESPECIALISTA EN DOLOR Y CUIDADOS PALIATIVOS </t>
  </si>
  <si>
    <t>892902</t>
  </si>
  <si>
    <t>ESTUDIO COMPLETO DE IMPOTENCIA</t>
  </si>
  <si>
    <t>892909</t>
  </si>
  <si>
    <t>PRUEBA FARMACOLOGICA INTRACAVERNOSA</t>
  </si>
  <si>
    <t>979961</t>
  </si>
  <si>
    <t>ANGIOTAC DE ARTERIAS CEREBRALES</t>
  </si>
  <si>
    <t>979965</t>
  </si>
  <si>
    <t>979967</t>
  </si>
  <si>
    <t>ANGIOTAC DE AORTA ABDOMINAL</t>
  </si>
  <si>
    <t>979970</t>
  </si>
  <si>
    <t xml:space="preserve">ANGIOTAC DE AORTA TORACO ABDOMINAL </t>
  </si>
  <si>
    <t>CODIGO</t>
  </si>
  <si>
    <t>EXAMEN</t>
  </si>
  <si>
    <t>CONCEPTO</t>
  </si>
  <si>
    <t>SERVICIO</t>
  </si>
  <si>
    <t>VALOR</t>
  </si>
  <si>
    <t>TOMOGRAFIA</t>
  </si>
  <si>
    <t>RX SIMPLE</t>
  </si>
  <si>
    <t>RX ESPECIALES</t>
  </si>
  <si>
    <t>MAMOGRAFIA</t>
  </si>
  <si>
    <t>ECOGRAFIA</t>
  </si>
  <si>
    <t>DOPPLER</t>
  </si>
  <si>
    <t>CONSULTAS</t>
  </si>
  <si>
    <t>BIOPSIAS</t>
  </si>
  <si>
    <t>TIPO</t>
  </si>
  <si>
    <t>ECOGRAFIA GENERAL</t>
  </si>
  <si>
    <t>ECOGRAFIA GINECOLOGICA</t>
  </si>
  <si>
    <t>TAC SIMPLE</t>
  </si>
  <si>
    <t>TAC CONTRASTADA</t>
  </si>
  <si>
    <t>MODALIDAD UBIQUO</t>
  </si>
  <si>
    <t>US</t>
  </si>
  <si>
    <t>MG</t>
  </si>
  <si>
    <t>RF</t>
  </si>
  <si>
    <t>CR, DX</t>
  </si>
  <si>
    <t>CT</t>
  </si>
  <si>
    <t>CANT_A_PAGAR</t>
  </si>
  <si>
    <t>VALOR_UND</t>
  </si>
  <si>
    <t>ECOGRAFIA DE TEJIDOS BLANDOS EN CARA CON ANALISIS DOPPLER</t>
  </si>
  <si>
    <t>EXACOD</t>
  </si>
  <si>
    <t>EXADES</t>
  </si>
  <si>
    <t>EXATARCON</t>
  </si>
  <si>
    <t>872580</t>
  </si>
  <si>
    <t>FLUOROSCOPIA GUIA PARA PROCEDIMIENTO QUIRURGICO O INTERVENCIONISTA EN VIAS BILIARES</t>
  </si>
  <si>
    <t>540011</t>
  </si>
  <si>
    <t>898101</t>
  </si>
  <si>
    <t xml:space="preserve">ESTUDIO DE COLORACION BASICA EN  BIOPSIA          </t>
  </si>
  <si>
    <t>881104</t>
  </si>
  <si>
    <t xml:space="preserve">DRENAJE DE COLECCION PROFUNDA DE TEJIDOS BLANDOS </t>
  </si>
  <si>
    <t>E81201</t>
  </si>
  <si>
    <t>881201 ECOGRAFÍA DE MAMA ESTÉTICA (POSTQUIRURGICA)</t>
  </si>
  <si>
    <t>873501</t>
  </si>
  <si>
    <t>FLUOROSCOPIA COMO GUIA PARA PROCEDIMIENTOS</t>
  </si>
  <si>
    <t>E81100</t>
  </si>
  <si>
    <t>881100 ULTRASONOGRAFÍA DE CARA ESTÉTICA POSTQUIRURGICA</t>
  </si>
  <si>
    <t>880006</t>
  </si>
  <si>
    <t>MEDIO DE CONTRASTE SENCILLO</t>
  </si>
  <si>
    <t>879932</t>
  </si>
  <si>
    <t>ANGIOTAC DE TORAX CON RECONSTRUCCION 3D</t>
  </si>
  <si>
    <t>879933</t>
  </si>
  <si>
    <t>ANGIOTAC CEREBRAL CON RECONSTRUCCION 3D</t>
  </si>
  <si>
    <t>879937</t>
  </si>
  <si>
    <t>ANGIOTAC DE CUELLO</t>
  </si>
  <si>
    <t>879938</t>
  </si>
  <si>
    <t>ANGIOTAC DE SILLA TURCA (HIPOFISIS)</t>
  </si>
  <si>
    <t>879942</t>
  </si>
  <si>
    <t>ANGIOTAC DE ABDOMEN TOTAL</t>
  </si>
  <si>
    <t>880005</t>
  </si>
  <si>
    <t>MATERIALES Y AGUJAS</t>
  </si>
  <si>
    <t>879431</t>
  </si>
  <si>
    <t>UROTOMOGRAFIA</t>
  </si>
  <si>
    <t>879931</t>
  </si>
  <si>
    <t>ANGIOTAC DE TORAX EXTENDIDO AL ABDOMEN SUPERIOR CON SUPRARRENALES</t>
  </si>
  <si>
    <t>879930</t>
  </si>
  <si>
    <t>ANGIOTAC DE ABDOMEN SUPERIOR CON RECONSTRUCCION 3D</t>
  </si>
  <si>
    <t>879941</t>
  </si>
  <si>
    <t>ANGIOTAC TORACO ABDOMINAL</t>
  </si>
  <si>
    <t>879946</t>
  </si>
  <si>
    <t>ANGIOTAC DE MIEMBROS SUPERIORES Y ARTICULA</t>
  </si>
  <si>
    <t>N79510</t>
  </si>
  <si>
    <t>879510 TOMOGRAFIA AXIAL COMPUTADA DE MIEMBROS SUPERIORES Y ARTICULACIONES CONTRASTADO</t>
  </si>
  <si>
    <t>880026</t>
  </si>
  <si>
    <t>IOPAMIDOL SOLUCION INYECTABLE 370MG I/ML</t>
  </si>
  <si>
    <t>879947</t>
  </si>
  <si>
    <t>ANGIOTAC DE MIEMBROS INFERIORES Y ARTICULAC</t>
  </si>
  <si>
    <t>Contador</t>
  </si>
  <si>
    <t>CUENTA_CONTABLE</t>
  </si>
  <si>
    <t>NOMBRE_CUENTA</t>
  </si>
  <si>
    <t>HONORARIOS MED RX SIMPLES</t>
  </si>
  <si>
    <t>HONORARIOS MED RX ESPECIALES</t>
  </si>
  <si>
    <t>HONORARIOS MED ECOGRAFIAS</t>
  </si>
  <si>
    <t>HONORARIOS MED DOPPLER</t>
  </si>
  <si>
    <t>HONORARIOS MED BIOPSIA</t>
  </si>
  <si>
    <t>HONORARIOS MED TOMOGRAFIAS</t>
  </si>
  <si>
    <t>HONORARIOS MED MAMOGRAFIAS</t>
  </si>
  <si>
    <t>C81130</t>
  </si>
  <si>
    <t>ULTRASONOGRAFIA DE TEJIDOS BLANDOS DE CARA (</t>
  </si>
  <si>
    <t xml:space="preserve"> </t>
  </si>
  <si>
    <t>881410 </t>
  </si>
  <si>
    <t>ECOGRAFÍA PÉLVICA GINECOLÓGICA (HISTEROSONOGRAFÍA O HISTEROSALPINGOSONOGRAFÍA)</t>
  </si>
  <si>
    <t>HISTEROSALPINGOGRAFÍA </t>
  </si>
  <si>
    <t xml:space="preserve">ECOGRAFIA </t>
  </si>
  <si>
    <t xml:space="preserve">ECOGRAFIA ARTICULAR DE CODO VILATERAL </t>
  </si>
  <si>
    <t>ECOGRAFIA ARTICULAR DE CADERA PEDIATRICA</t>
  </si>
  <si>
    <t>872121P</t>
  </si>
  <si>
    <t>RADIOGRAFIA DE VIAS DIGESTIVAS ALTAS CON CONTRASTE SENCILLO (EED)</t>
  </si>
  <si>
    <t>XEROMAMOGRAFIA TAMIZAJE DE DETENCION TEMPRANA DE CA SENO</t>
  </si>
  <si>
    <t>RADIOGRAFIA DE RODILLA AP, LATERAL COMPARATIVA</t>
  </si>
  <si>
    <t>RADIOGRAFIA DE HOMBRO COMPARATIVA</t>
  </si>
  <si>
    <t>87920L</t>
  </si>
  <si>
    <t>TOMOGRAFIA DE COLUMNA LUMBOSACRA</t>
  </si>
  <si>
    <t>P71121</t>
  </si>
  <si>
    <t>87920C</t>
  </si>
  <si>
    <t>TOMOGRAFIA DE COLUMNA CERVICAL</t>
  </si>
  <si>
    <t xml:space="preserve"> RADIOGRAFÍA DE TORAX (P.A. O A.P Y LATERAL, DECUBITO LATERAL, OBLICUAS O LATERAL CON BARIO) </t>
  </si>
  <si>
    <t>8799A5</t>
  </si>
  <si>
    <t xml:space="preserve">TOMOGRAFIA DINAMICA DE ROTULAS </t>
  </si>
  <si>
    <t>P82803</t>
  </si>
  <si>
    <t>87920D</t>
  </si>
  <si>
    <t>8799A2</t>
  </si>
  <si>
    <t>87132D</t>
  </si>
  <si>
    <t>87920S</t>
  </si>
  <si>
    <t>88227E</t>
  </si>
  <si>
    <t>87992A</t>
  </si>
  <si>
    <t>P79131</t>
  </si>
  <si>
    <t>898103</t>
  </si>
  <si>
    <t>ESTUDIO DE COLORACION INMUNOHISTOQUIMICA EN BIOPSIA</t>
  </si>
  <si>
    <t>29129</t>
  </si>
  <si>
    <t xml:space="preserve">BLOQUEO DE NERVIO MEDIANO </t>
  </si>
  <si>
    <t>898003</t>
  </si>
  <si>
    <t>ESTUDIO DE COLORACION BASICA EN CITOLOGIA POR ASPIRACION DE CUALQUIER TEJIDO U ORGANO(BACAF)</t>
  </si>
  <si>
    <t>451600</t>
  </si>
  <si>
    <t xml:space="preserve">ESOFAGOGASTRODUODENOSCOPIA </t>
  </si>
  <si>
    <t>B92300</t>
  </si>
  <si>
    <t>B92300 INYECCION INTERLAMINAR DE ESTEROIDES CERVICAL, TORÁCICA Y LUMBAR.</t>
  </si>
  <si>
    <t>452401</t>
  </si>
  <si>
    <t xml:space="preserve">RECTOSIGMOIDOSCOPIA </t>
  </si>
  <si>
    <t>898104</t>
  </si>
  <si>
    <t>ESTUDIO DE COLORACION DE INMUNOFLUORESENCIA EN BIOPSIA</t>
  </si>
  <si>
    <t>306001</t>
  </si>
  <si>
    <t>NASOLARINGOSCOPIA</t>
  </si>
  <si>
    <t>P90224</t>
  </si>
  <si>
    <t>890224 CONSULTA DE SEGUIMIENTO POST PROCEDIMEINTO DE BLOQUEO</t>
  </si>
  <si>
    <t>ECOGRAFIA ARTICULAR DE DEDOS DE LA MANO (UNILATERAL)</t>
  </si>
  <si>
    <t>882271E ESTUDIO COMPLETO DE IMPOTENCIA</t>
  </si>
  <si>
    <t>881437</t>
  </si>
  <si>
    <t>ECOGRAFIA OBSTETRICA NIVEL III</t>
  </si>
  <si>
    <t>B81130</t>
  </si>
  <si>
    <t>ECOGRAFIA DE TEJIDO BLANDO DE CARA(INCLUYE AURICULA) O CUERO CABELLUDO SIN ANALISIS DOPPLER</t>
  </si>
  <si>
    <t>452301</t>
  </si>
  <si>
    <t>COLONOSCOPIA</t>
  </si>
  <si>
    <t>871320D RADIOGRAFIA DE ESOFAGO CONTRASTE DOBLE</t>
  </si>
  <si>
    <t>452306</t>
  </si>
  <si>
    <t xml:space="preserve">COLONOSCOPIA BAJO ANESTESIA GENERAL </t>
  </si>
  <si>
    <t>873304</t>
  </si>
  <si>
    <t>RADIOGRAFIA AXIAL DE SESAMOIDEOS Y CABEZAS DE LOS METATARSIANOS</t>
  </si>
  <si>
    <t>871121 RADIOGRAFIA DE TORAX</t>
  </si>
  <si>
    <t>873001</t>
  </si>
  <si>
    <t>RADIOGRAFIA PARA SERIE ESQUELETICA</t>
  </si>
  <si>
    <t>8799A8</t>
  </si>
  <si>
    <t>8799A8 CISTOTAC ( ESTUDIO CONTRATADO)</t>
  </si>
  <si>
    <t>P79122</t>
  </si>
  <si>
    <t>879122P TOMOGRAFIA COMPUTADA DE OIDO, PEÑASCO Y CONDUCTO AUDITIVO INTERNO</t>
  </si>
  <si>
    <t>87992A TAC ANTEVERSION FEMORAL Y TORCIÓN TIBIAL</t>
  </si>
  <si>
    <t>P87920</t>
  </si>
  <si>
    <t xml:space="preserve">879201P TOMOGRAFIA AXIAL COMPUTADA DE COLUMNA SEGMENTOS CERVICAL, TORACICO,  LUMBAR Y/O SACRO,  POR CADA NIVEL (TRES ESPACIOS) CONTRASTADA_x000D_
</t>
  </si>
  <si>
    <t>8795208 TOMOGRAFIA COMPUTADA (TC) DE MUSLO (FEMUR) SIMPLE</t>
  </si>
  <si>
    <t>8792CP</t>
  </si>
  <si>
    <t>TOMOGRAFIA DE COLUMNA CERVICAL CONTRASTADA</t>
  </si>
  <si>
    <t>P79460</t>
  </si>
  <si>
    <t>879460P TOMOGRAFIA COMPUTADA DE PELVIS</t>
  </si>
  <si>
    <t xml:space="preserve">TOMOGRAFIA DE COLUMNA CERVICAL _x000D_
</t>
  </si>
  <si>
    <t>879523</t>
  </si>
  <si>
    <t>TOMOGRAFÍA COMPUTADA DE MIEMBROS INFERIORES_x000D_
(AXIALES DE RÓTULA O LONGITUD DE MIEMBROS_x000D_
INFERIORES)</t>
  </si>
  <si>
    <t>8799A2 TOMOGRAFIA DE PELVIS O CADERA</t>
  </si>
  <si>
    <t>879131P TOMOGRAFIA COMPUTADA DE SENOS PARANASALES O CARA</t>
  </si>
  <si>
    <t>8792SP</t>
  </si>
  <si>
    <t>TOMOGRAFIA COMPUTADA (TC) SACRO Y/O COCCIX SIMPLE</t>
  </si>
  <si>
    <t>8792LP</t>
  </si>
  <si>
    <t xml:space="preserve">TOMOGRAFIA DE COLUMNA LUMBOSACRA  CONTRASTADA_x000D_
</t>
  </si>
  <si>
    <t>8792DP</t>
  </si>
  <si>
    <t xml:space="preserve">TOMOGRAFIA DE COLUMNA DORSAL O TORACICA CONTRASTADA </t>
  </si>
  <si>
    <t xml:space="preserve">TOMOGRAFIA COMPUTADA (TC) SACRO Y/O COCCIX </t>
  </si>
  <si>
    <t>TOMOGRAFIA COMPUTADA DE VASOS</t>
  </si>
  <si>
    <t xml:space="preserve">TOMOGRAFIA DE COLUMNA LUMBOSACRA_x000D_
</t>
  </si>
  <si>
    <t>8799A6</t>
  </si>
  <si>
    <t>TAC ARTICULACIONES SACROILIACAS</t>
  </si>
  <si>
    <t>P87952</t>
  </si>
  <si>
    <t>P879520 TOMOGRAFIA COMPUTADA DE MIEMBROS INFERIORES Y ARTICULACIONES CONTRASTADA</t>
  </si>
  <si>
    <t>TOMOGRAFIA DE COLUMNA DORSAL O TORACICA</t>
  </si>
  <si>
    <t>8799A5 TOMOGRAFIA DINAMICA DE ROTULAS</t>
  </si>
  <si>
    <t>Cod_CUPS</t>
  </si>
  <si>
    <t>CUPS</t>
  </si>
  <si>
    <t>053301</t>
  </si>
  <si>
    <t>GANGLIOLISIS EN GANGLIOS SIMPÁTICOS, POR RADIOFRECUENCIA O FENOLIZACIÓN</t>
  </si>
  <si>
    <t>048301</t>
  </si>
  <si>
    <t>INYECCION DE ANESTESIA EN NERVIO DE FACETA ARTICULAR VERTEBR</t>
  </si>
  <si>
    <t>53114</t>
  </si>
  <si>
    <t>BLOQUEO SIMPATICO REGIONAL (CERVICAL, TORACICO O LUMBAR)</t>
  </si>
  <si>
    <t>8732101</t>
  </si>
  <si>
    <t>RADIOGRAFIA DE MANO</t>
  </si>
  <si>
    <t>A79901</t>
  </si>
  <si>
    <t>ANGIOTOMOGRAFIA -ANGIOTC- DE AORTA ABDOMINAL Y/O
MIEMBROS IN</t>
  </si>
  <si>
    <t>TOMOGRAFIA COMPUTADA DE MIEMBROS INFERIORES (AXIALES DE ROTU</t>
  </si>
  <si>
    <t>79901P</t>
  </si>
  <si>
    <t>8799016 ANGIOTOMOGRAFIA -ANGIOTAC- DE CEREBRO (CIRCULACION I</t>
  </si>
  <si>
    <t>B79901</t>
  </si>
  <si>
    <t>ANGIOTOMOGRAFIA -ANGIOTC- DE VASOS PULMONARES</t>
  </si>
  <si>
    <t>D79901</t>
  </si>
  <si>
    <t xml:space="preserve">ANGIOTOMOGRAFIA -ANGIOTC- DE CUELLO ( CAROTIDA, VERTEBRALES </t>
  </si>
  <si>
    <t xml:space="preserve">TOMOGRAFIA DE COLUMNA LUMBOSACRA CONTRASTADA </t>
  </si>
  <si>
    <t>E79900</t>
  </si>
  <si>
    <t>ANGIOTOMOGRAFIA -ANGIOTC- DE OPERCULO TORACICO</t>
  </si>
  <si>
    <t>8733030</t>
  </si>
  <si>
    <t>RADIOGRAFIA DE PIE AP Y LATERAL COMPARATIVA SIN APOYO</t>
  </si>
  <si>
    <t>E73210</t>
  </si>
  <si>
    <t>RADIOGRAFIA TEST DE ESCAFOIDES</t>
  </si>
  <si>
    <t>48101</t>
  </si>
  <si>
    <t>BLOQUEO DE NERVIO TRIGEMINAL O ESFENOPALATINO</t>
  </si>
  <si>
    <t>E79901</t>
  </si>
  <si>
    <t>8799010 ANGIOTOMOGRAFIA-ANGIOTAC- DE AORTA TORACICA</t>
  </si>
  <si>
    <t>8793011</t>
  </si>
  <si>
    <t>TOMOGRAFIA COMPUTADA (TC) DE TORAX CONTRASTADA</t>
  </si>
  <si>
    <t>879420P</t>
  </si>
  <si>
    <t>TOMOGRAFIA AXIAL COMPUTADA DE ABDOMEN Y  PELVIS (ABDOMEN TOTAL) CONTRASTADO</t>
  </si>
  <si>
    <t>879961</t>
  </si>
  <si>
    <t>8733120</t>
  </si>
  <si>
    <t>RADIOGRAFIA DE FEMUR (MUSLO) AP Y LATERAL COMPARATIVA</t>
  </si>
  <si>
    <t>661100</t>
  </si>
  <si>
    <t>898807</t>
  </si>
  <si>
    <t>ESTUDIO ANATOMOPATOLÓGICO DE MARCACIÓN INMUNOHISTOQUÍMICA BÁSICA (ESPECÍFICO)</t>
  </si>
  <si>
    <t>898809</t>
  </si>
  <si>
    <t>ESTUDIO ANATOMOPATOLÓGICO EN BIOPSIA POR INMUNOFLUORESCENCIA (ESPECÍFICO)</t>
  </si>
  <si>
    <t>898102</t>
  </si>
  <si>
    <t>ESTUDIO DE MUESTRA DE COLORACIONES DE INMUNOHISTOQUIMICA</t>
  </si>
  <si>
    <t>A82801</t>
  </si>
  <si>
    <t>8828010 DUPLEX SCANNING [DOPPLER- ECOGRAFIA] DE VASOS CEREBELOSOS</t>
  </si>
  <si>
    <t>881151</t>
  </si>
  <si>
    <t>ECOGRAFIA DE GANGLIOS CERVICALES(MAPEO)</t>
  </si>
  <si>
    <t>10003</t>
  </si>
  <si>
    <t>PAQUETE AMIGAS HO (DOS ECOGRAFÍAS DE MAMA)</t>
  </si>
  <si>
    <t>10002</t>
  </si>
  <si>
    <t>PAQUETE AMOR HO (ECOGRAFÍA DE TIROIDES, ABDOMEN TOTAL Y PRÓSTATA TRANSABDOMINAL)</t>
  </si>
  <si>
    <t>10001</t>
  </si>
  <si>
    <t>PAQUETE MUJER HO (ECOGRAFÍA DE MAMA, TIROIDES Y ABDOMEN TOTAL)</t>
  </si>
  <si>
    <t>ULTRASONOGRAFÍA DE ABDOMEN SUPERIOR: HIGADO, PÁNCREAS</t>
  </si>
  <si>
    <t>B76802</t>
  </si>
  <si>
    <t>8768020 XEROMAMOGRAFIA EN HOMBRE</t>
  </si>
  <si>
    <t>10004</t>
  </si>
  <si>
    <t>PAQUETE AMIGAS HO (DOS MAMOGRAFÍAS)</t>
  </si>
  <si>
    <t>10005</t>
  </si>
  <si>
    <t>PAQUETE ROSA HO (MAMOGRAFÍA Y ECOGRAFÍA DE MAMA)</t>
  </si>
  <si>
    <t>10006</t>
  </si>
  <si>
    <t>CHEQUEO COMPLETO DE RODILLA: HUESOS Y TEJIDOS BLANDOS (RX Y ECO ARTICULAR DE RODILLA)</t>
  </si>
  <si>
    <t>870002</t>
  </si>
  <si>
    <t>PERFILOGRAMA CON CEFALOMETRIA</t>
  </si>
  <si>
    <t>873340</t>
  </si>
  <si>
    <t>RADIOGRAFIA DE MIEMBRO INFERIOR AP Y LATERAL</t>
  </si>
  <si>
    <t>T79401</t>
  </si>
  <si>
    <t>8794103  TOMOGRAFIA COMPUTADA (TC) TRIFASICO DE ABDOMEN</t>
  </si>
  <si>
    <t>8799000 ANGIOTOMOGRAFIA -ANGIOTC- DE OPERCULO TORACICO</t>
  </si>
  <si>
    <t>87990A</t>
  </si>
  <si>
    <t>8799011 ANGIOTOMOGRAFIA-ANGIOTA-DE AORTA ABDOMINAL</t>
  </si>
  <si>
    <t>T79901</t>
  </si>
  <si>
    <t xml:space="preserve">8799015 ANGIOTOMOGRAFIA -ANGIOTC- DE AORTA COMPLETA _x000D_
(TORACOABDOMINAL) </t>
  </si>
  <si>
    <t>8799017 ANGIOTOMOGRAFIA -ANGIOTC- DE CUELLO ( CAROTIDA, VERTEBRALES U OTRAS EXTRACRANEANA)</t>
  </si>
  <si>
    <t>P79933</t>
  </si>
  <si>
    <t>8799330 ANGIOTAC CEREBRAL</t>
  </si>
  <si>
    <t>ANGIOTOMOGRAFIA -ANGIOTAC- DE CEREBRO (CIRCULACION INTRACRANEANA)</t>
  </si>
  <si>
    <t>K79901</t>
  </si>
  <si>
    <t xml:space="preserve">ANGIOTOMOGRAFIA -ANGIOTAC- DE CEREBRO (CIRCULACION INTRACRANEANA) </t>
  </si>
  <si>
    <t>G79999</t>
  </si>
  <si>
    <t>ANGIOTOMOGRAFIA -ANGIOTAC- DE CIRCULACION HEPATICA Y PORTAL</t>
  </si>
  <si>
    <t>F79901</t>
  </si>
  <si>
    <t>ANGIOTOMOGRAFIA -ANGIOTC- DE MIEMBROS SUPERIORES</t>
  </si>
  <si>
    <t>O79901</t>
  </si>
  <si>
    <t xml:space="preserve">ANGIOTOMOGRAFIA -ANGIOTC- DE OTROS VASOS ABDOMINALES SIN AORTA </t>
  </si>
  <si>
    <t>ANGIOTOMOGRAFIA DE VASOS PULMONARES</t>
  </si>
  <si>
    <t>H79421</t>
  </si>
  <si>
    <t>ARTROTOMOGRAFIA (ARTROTAC) DE CADERA</t>
  </si>
  <si>
    <t>I79500</t>
  </si>
  <si>
    <t>ARTROTOMOGRAFIA (ARTROTAC) DE MUÑECA</t>
  </si>
  <si>
    <t>P79500</t>
  </si>
  <si>
    <t xml:space="preserve">ARTROTOMOGRAFIA (ARTROTC) DE CODO </t>
  </si>
  <si>
    <t>Q79500</t>
  </si>
  <si>
    <t>ARTROTOMOGRAFIA (ARTROTC) DE HOMBRO</t>
  </si>
  <si>
    <t>N79500</t>
  </si>
  <si>
    <t xml:space="preserve">ARTROTOMOGRAFIA (ARTROTC) DE RODILLA </t>
  </si>
  <si>
    <t>J79500</t>
  </si>
  <si>
    <t>ARTROTOMOGRAFIA (ARTROTC) DE TOBILLO</t>
  </si>
  <si>
    <t>879940</t>
  </si>
  <si>
    <t>CISTOTAC</t>
  </si>
  <si>
    <t>L79410</t>
  </si>
  <si>
    <t xml:space="preserve">COLANGIOGRAFIA POR TOMOGRAFIA COMPUTADA (COLANGIOTC) </t>
  </si>
  <si>
    <t>P79121</t>
  </si>
  <si>
    <t>P79121 TOMOGRAFIA AXIAL COMPUTADA DE ORBITAS (CORTES AXIALES Y CORONALES) CONTRASTADO</t>
  </si>
  <si>
    <t>RAYOS X TOMOGRAFIA DE MEDIASTINO Y TRAQUEA</t>
  </si>
  <si>
    <t>87912P</t>
  </si>
  <si>
    <t>TOMOGRAFIA AXIAL COMPUTADA DE OIDO,PEÑASCO Y CONDUCTO AUDITIVO INTERNO( CORTES AXIALES Y CORONALES) CONTRASTADA</t>
  </si>
  <si>
    <t>A79421</t>
  </si>
  <si>
    <t>TOMOGRAFIA COMPUTADA (TC) DE CADERA CONTRASTADA</t>
  </si>
  <si>
    <t>T79510</t>
  </si>
  <si>
    <t>TOMOGRAFIA COMPUTADA (TC) DE CODO CONTRASTADA</t>
  </si>
  <si>
    <t>W79510</t>
  </si>
  <si>
    <t>TOMOGRAFIA COMPUTADA (TC) DE MUÑECA CONTRASTADA</t>
  </si>
  <si>
    <t>Ñ79510</t>
  </si>
  <si>
    <t>TOMOGRAFIA COMPUTADA (TC) DE MUÑECA SIMPLE</t>
  </si>
  <si>
    <t>M79410</t>
  </si>
  <si>
    <t>TOMOGRAFIA COMPUTADA (TC) TRIFASICO DE PANCREAS</t>
  </si>
  <si>
    <t>879411</t>
  </si>
  <si>
    <t>TOMOGRAFIA COMPUTADA DE INTESTINO (ENTEROTAC)</t>
  </si>
  <si>
    <t>P79520</t>
  </si>
  <si>
    <t>TOMOGRAFIA COMPUTADA DE MIEMBROS INFERIORES Y ARTICULACIONES CONTRASTADO</t>
  </si>
  <si>
    <t>879303</t>
  </si>
  <si>
    <t>TOMOGRAFIA COMPUTADA DE TORAX DE BAJA DOSIS (TC - BD)</t>
  </si>
  <si>
    <t xml:space="preserve">TOMOGRAFIA COMPUTADA DE VIAS URINARIAS UROTC
</t>
  </si>
  <si>
    <t>P79901</t>
  </si>
  <si>
    <t>TOMOGRAFIA DE GRANDES VASOS CONTRASTADO</t>
  </si>
  <si>
    <t>Columna1</t>
  </si>
  <si>
    <t>88120E</t>
  </si>
  <si>
    <t>881201 ECOGRAFÍA DE MAMA ESTÉTICA (PREQUIRURGICA)</t>
  </si>
  <si>
    <t>ENTIDAD</t>
  </si>
  <si>
    <t>%</t>
  </si>
  <si>
    <t>TOTAL A PAGAR</t>
  </si>
  <si>
    <t>COOMEVA MEDICINA PREPAGADA S.A</t>
  </si>
  <si>
    <t>EPS Y MEDICINA PREPAGADA SURAM</t>
  </si>
  <si>
    <t>MEDISANITAS S.A.</t>
  </si>
  <si>
    <t>SALUD TOTAL EPS</t>
  </si>
  <si>
    <t>SEGUROS DE VIDA SURAMERICANA S</t>
  </si>
  <si>
    <t>UNIVERSIDAD DE ANTIOQUIA PSU</t>
  </si>
  <si>
    <t>PARTICULAR</t>
  </si>
  <si>
    <t>ALIANZA MEDELLIN ANTIOQUIA EPS</t>
  </si>
  <si>
    <t>PRO-DIAGNOSTICO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</si>
</sst>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[$$-240A]\ #,##0"/>
    <numFmt numFmtId="166" formatCode="_-&quot;$&quot;\ * #,##0_-;\-&quot;$&quot;\ * #,##0_-;_-&quot;$&quot;\ * &quot;-&quot;??_-;_-@_-"/>
  </numFmts>
  <fonts count="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1" fillId="0" borderId="2" xfId="0" applyFont="1" applyBorder="1"/>
    <xf numFmtId="0" fontId="1" fillId="0" borderId="3" xfId="0" applyFont="1" applyBorder="1"/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4" fillId="0" borderId="0" xfId="0" applyFont="1" applyAlignment="1">
      <alignment horizontal="left"/>
    </xf>
    <xf numFmtId="0" fontId="4" fillId="0" borderId="0" xfId="0" applyFont="1"/>
    <xf numFmtId="164" fontId="4" fillId="0" borderId="0" xfId="0" applyNumberFormat="1" applyFont="1"/>
    <xf numFmtId="0" fontId="0" fillId="0" borderId="0" xfId="0" applyAlignment="1">
      <alignment wrapText="1"/>
    </xf>
    <xf numFmtId="164" fontId="0" fillId="0" borderId="0" xfId="0" applyNumberFormat="1" applyAlignment="1">
      <alignment horizontal="right"/>
    </xf>
    <xf numFmtId="0" fontId="4" fillId="0" borderId="1" xfId="0" applyFont="1" applyBorder="1" applyAlignment="1">
      <alignment horizontal="left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4" fillId="0" borderId="1" xfId="0" applyFont="1" applyBorder="1"/>
    <xf numFmtId="0" fontId="4" fillId="2" borderId="0" xfId="0" applyFont="1" applyFill="1"/>
    <xf numFmtId="0" fontId="0" fillId="0" borderId="0" xfId="0" applyAlignment="1">
      <alignment horizontal="center"/>
    </xf>
    <xf numFmtId="44" fontId="0" fillId="0" borderId="0" xfId="1" applyFont="1"/>
    <xf numFmtId="9" fontId="0" fillId="0" borderId="0" xfId="2" applyFont="1" applyAlignment="1">
      <alignment horizontal="center"/>
    </xf>
    <xf numFmtId="44" fontId="0" fillId="0" borderId="0" xfId="0" applyNumberFormat="1"/>
    <xf numFmtId="166" fontId="0" fillId="0" borderId="0" xfId="1" applyNumberFormat="1" applyFont="1"/>
    <xf numFmtId="9" fontId="0" fillId="0" borderId="0" xfId="0" applyNumberFormat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1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[$$-240A]\ #,##0"/>
    </dxf>
    <dxf>
      <numFmt numFmtId="164" formatCode="[$$-240A]\ #,##0"/>
    </dxf>
    <dxf>
      <alignment horizontal="left" vertical="bottom" textRotation="0" wrapText="0" indent="0" justifyLastLine="0" shrinkToFit="0" readingOrder="0"/>
    </dxf>
    <dxf>
      <numFmt numFmtId="164" formatCode="[$$-240A]\ #,##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8FE75D6-708D-45EF-9EFB-B3B6B882A515}" autoFormatId="16" applyNumberFormats="0" applyBorderFormats="0" applyFontFormats="0" applyPatternFormats="0" applyAlignmentFormats="0" applyWidthHeightFormats="0">
  <queryTableRefresh nextId="4">
    <queryTableFields count="3">
      <queryTableField id="1" name="EXACOD" tableColumnId="4"/>
      <queryTableField id="2" name="EXADES" tableColumnId="2"/>
      <queryTableField id="3" name="EXATARCON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C0D32-B865-4E1E-A00E-8EE9D76EB02B}" name="EXAMENES" displayName="EXAMENES" ref="A1:L413" headerRowDxfId="10">
  <autoFilter ref="A1:L413" xr:uid="{306C0D32-B865-4E1E-A00E-8EE9D76EB02B}"/>
  <tableColumns count="12">
    <tableColumn id="1" xr3:uid="{7B2A910F-44EF-429E-89CE-0920F24D1CC1}" name="CODIGO" totalsRowLabel="Total" dataDxfId="9" totalsRowDxfId="8"/>
    <tableColumn id="12" xr3:uid="{496A4B3A-9EBA-48B6-98EB-F30DC1C8DB84}" name="Columna1" dataDxfId="7" totalsRowDxfId="6"/>
    <tableColumn id="2" xr3:uid="{2243174B-90CE-486B-BAAA-53F620A60924}" name="EXAMEN"/>
    <tableColumn id="3" xr3:uid="{7FD7FE60-4C47-4822-993B-87ABACC86A9F}" name="CONCEPTO"/>
    <tableColumn id="4" xr3:uid="{5262F700-44D5-4310-AA9C-AE1DD9534072}" name="SERVICIO"/>
    <tableColumn id="5" xr3:uid="{F99E45E9-A2D0-4A38-9EC7-5219F82EF928}" name="TIPO"/>
    <tableColumn id="6" xr3:uid="{12AAA037-2D09-4812-86A2-79AC6026AA02}" name="VALOR" dataDxfId="5"/>
    <tableColumn id="7" xr3:uid="{BD00B7D0-505E-4DDA-B2EC-6B2394B7CB29}" name="MODALIDAD UBIQUO"/>
    <tableColumn id="8" xr3:uid="{CA9EE38A-3CBF-4840-A33C-B4939267B7FC}" name="CANT_A_PAGAR"/>
    <tableColumn id="9" xr3:uid="{88CC87B6-0917-43A4-B23D-4BEBB3D289B3}" name="VALOR_UND" dataDxfId="4"/>
    <tableColumn id="10" xr3:uid="{24F84920-1B7A-4E5F-8710-028B55344935}" name="CUENTA_CONTABLE"/>
    <tableColumn id="11" xr3:uid="{D78D0C02-2878-4D0E-9A6B-7453528B3F76}" name="NOMBRE_CUENTA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20421D-2EB6-45B8-A6E1-48CBDE4F1EEB}" name="Consulta1" displayName="Consulta1" ref="A1:C491" tableType="queryTable" totalsRowShown="0">
  <autoFilter ref="A1:C491" xr:uid="{9620421D-2EB6-45B8-A6E1-48CBDE4F1EEB}"/>
  <tableColumns count="3">
    <tableColumn id="4" xr3:uid="{DA2D519A-34C4-48AE-BBEA-94811428775A}" uniqueName="4" name="EXACOD" queryTableFieldId="1" dataDxfId="3"/>
    <tableColumn id="2" xr3:uid="{CF3CA62F-CE45-4C13-BC0B-9BFEE6EC1E2D}" uniqueName="2" name="EXADES" queryTableFieldId="2" dataDxfId="2"/>
    <tableColumn id="3" xr3:uid="{30335244-BDBA-4C14-A1B5-B9AB474C95DC}" uniqueName="3" name="EXATARCON" queryTableFieldId="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A413"/>
  <sheetViews>
    <sheetView tabSelected="1" zoomScale="130" zoomScaleNormal="130" workbookViewId="0">
      <pane ySplit="1" topLeftCell="A2" activePane="bottomLeft" state="frozen"/>
      <selection pane="bottomLeft" activeCell="C1" sqref="C1"/>
    </sheetView>
  </sheetViews>
  <sheetFormatPr baseColWidth="10" defaultColWidth="9.1796875" defaultRowHeight="14.5" x14ac:dyDescent="0.35"/>
  <cols>
    <col min="1" max="1" width="11.26953125" style="9" bestFit="1" customWidth="1"/>
    <col min="2" max="2" width="11.26953125" style="9" customWidth="1"/>
    <col min="3" max="3" width="75.81640625" customWidth="1"/>
    <col min="4" max="4" width="13" bestFit="1" customWidth="1"/>
    <col min="5" max="5" width="13.453125" customWidth="1"/>
    <col min="6" max="6" width="32" customWidth="1"/>
    <col min="7" max="7" width="12" customWidth="1"/>
    <col min="8" max="8" width="17.81640625" customWidth="1"/>
    <col min="9" max="9" width="17.7265625" bestFit="1" customWidth="1"/>
    <col min="10" max="10" width="14.453125" bestFit="1" customWidth="1"/>
    <col min="11" max="11" width="23.54296875" bestFit="1" customWidth="1"/>
    <col min="12" max="12" width="39.54296875" customWidth="1"/>
  </cols>
  <sheetData>
    <row r="1" spans="1:12" x14ac:dyDescent="0.35">
      <c r="A1" s="7" t="s">
        <v>763</v>
      </c>
      <c r="B1" s="7" t="s">
        <v>1069</v>
      </c>
      <c r="C1" s="1" t="s">
        <v>764</v>
      </c>
      <c r="D1" s="1" t="s">
        <v>765</v>
      </c>
      <c r="E1" s="1" t="s">
        <v>766</v>
      </c>
      <c r="F1" s="1" t="s">
        <v>776</v>
      </c>
      <c r="G1" s="1" t="s">
        <v>767</v>
      </c>
      <c r="H1" s="1" t="s">
        <v>781</v>
      </c>
      <c r="I1" s="1" t="s">
        <v>787</v>
      </c>
      <c r="J1" s="1" t="s">
        <v>788</v>
      </c>
      <c r="K1" s="1" t="s">
        <v>837</v>
      </c>
      <c r="L1" s="1" t="s">
        <v>838</v>
      </c>
    </row>
    <row r="2" spans="1:12" x14ac:dyDescent="0.35">
      <c r="A2" s="8">
        <v>881134</v>
      </c>
      <c r="B2" s="4">
        <f>EXAMENES[[#This Row],[VALOR_UND]]*EXAMENES[[#This Row],[CANT_A_PAGAR]]</f>
        <v>38100</v>
      </c>
      <c r="C2" s="3" t="s">
        <v>529</v>
      </c>
      <c r="D2" s="3" t="s">
        <v>77</v>
      </c>
      <c r="E2" s="3" t="s">
        <v>773</v>
      </c>
      <c r="F2" s="3" t="s">
        <v>773</v>
      </c>
      <c r="G2" s="4">
        <v>38100</v>
      </c>
      <c r="H2" s="3" t="s">
        <v>782</v>
      </c>
      <c r="I2" s="3">
        <v>1</v>
      </c>
      <c r="J2" s="4">
        <v>38100</v>
      </c>
      <c r="K2">
        <v>61251004</v>
      </c>
      <c r="L2" t="s">
        <v>842</v>
      </c>
    </row>
    <row r="3" spans="1:12" x14ac:dyDescent="0.35">
      <c r="A3" s="8">
        <v>881435</v>
      </c>
      <c r="B3" s="4">
        <f>EXAMENES[[#This Row],[VALOR_UND]]*EXAMENES[[#This Row],[CANT_A_PAGAR]]</f>
        <v>38100</v>
      </c>
      <c r="C3" s="3" t="s">
        <v>589</v>
      </c>
      <c r="D3" s="3" t="s">
        <v>77</v>
      </c>
      <c r="E3" s="3" t="s">
        <v>773</v>
      </c>
      <c r="F3" s="3" t="s">
        <v>773</v>
      </c>
      <c r="G3" s="4">
        <v>38100</v>
      </c>
      <c r="H3" s="3" t="s">
        <v>782</v>
      </c>
      <c r="I3" s="3">
        <v>1</v>
      </c>
      <c r="J3" s="4">
        <v>38100</v>
      </c>
      <c r="K3">
        <v>61251004</v>
      </c>
      <c r="L3" t="s">
        <v>842</v>
      </c>
    </row>
    <row r="4" spans="1:12" x14ac:dyDescent="0.35">
      <c r="A4" s="8">
        <v>882298</v>
      </c>
      <c r="B4" s="4">
        <f>EXAMENES[[#This Row],[VALOR_UND]]*EXAMENES[[#This Row],[CANT_A_PAGAR]]</f>
        <v>38100</v>
      </c>
      <c r="C4" s="3" t="s">
        <v>692</v>
      </c>
      <c r="D4" s="3" t="s">
        <v>77</v>
      </c>
      <c r="E4" s="3" t="s">
        <v>773</v>
      </c>
      <c r="F4" s="3" t="s">
        <v>773</v>
      </c>
      <c r="G4" s="4">
        <v>38100</v>
      </c>
      <c r="H4" s="3" t="s">
        <v>782</v>
      </c>
      <c r="I4" s="3">
        <v>1</v>
      </c>
      <c r="J4" s="4">
        <v>38100</v>
      </c>
      <c r="K4">
        <v>61251004</v>
      </c>
      <c r="L4" t="s">
        <v>842</v>
      </c>
    </row>
    <row r="5" spans="1:12" x14ac:dyDescent="0.35">
      <c r="A5" s="8" t="s">
        <v>88</v>
      </c>
      <c r="B5" s="4">
        <f>EXAMENES[[#This Row],[VALOR_UND]]*EXAMENES[[#This Row],[CANT_A_PAGAR]]</f>
        <v>21400</v>
      </c>
      <c r="C5" s="3" t="s">
        <v>89</v>
      </c>
      <c r="D5" s="3" t="s">
        <v>5</v>
      </c>
      <c r="E5" s="3" t="s">
        <v>772</v>
      </c>
      <c r="F5" s="3" t="s">
        <v>778</v>
      </c>
      <c r="G5" s="4">
        <v>21400</v>
      </c>
      <c r="H5" s="3" t="s">
        <v>782</v>
      </c>
      <c r="I5" s="3">
        <v>1</v>
      </c>
      <c r="J5" s="4">
        <v>21400</v>
      </c>
      <c r="K5">
        <v>61251003</v>
      </c>
      <c r="L5" t="s">
        <v>841</v>
      </c>
    </row>
    <row r="6" spans="1:12" x14ac:dyDescent="0.35">
      <c r="A6" s="8">
        <v>881401</v>
      </c>
      <c r="B6" s="4">
        <f>EXAMENES[[#This Row],[VALOR_UND]]*EXAMENES[[#This Row],[CANT_A_PAGAR]]</f>
        <v>21400</v>
      </c>
      <c r="C6" s="3" t="s">
        <v>575</v>
      </c>
      <c r="D6" s="3" t="s">
        <v>5</v>
      </c>
      <c r="E6" s="3" t="s">
        <v>772</v>
      </c>
      <c r="F6" s="3" t="s">
        <v>778</v>
      </c>
      <c r="G6" s="4">
        <v>21400</v>
      </c>
      <c r="H6" s="3" t="s">
        <v>782</v>
      </c>
      <c r="I6" s="3">
        <v>1</v>
      </c>
      <c r="J6" s="4">
        <v>21400</v>
      </c>
      <c r="K6">
        <v>61251003</v>
      </c>
      <c r="L6" t="s">
        <v>841</v>
      </c>
    </row>
    <row r="7" spans="1:12" x14ac:dyDescent="0.35">
      <c r="A7" s="8">
        <v>881402</v>
      </c>
      <c r="B7" s="4">
        <f>EXAMENES[[#This Row],[VALOR_UND]]*EXAMENES[[#This Row],[CANT_A_PAGAR]]</f>
        <v>21400</v>
      </c>
      <c r="C7" s="3" t="s">
        <v>577</v>
      </c>
      <c r="D7" s="3" t="s">
        <v>5</v>
      </c>
      <c r="E7" s="3" t="s">
        <v>772</v>
      </c>
      <c r="F7" s="3" t="s">
        <v>778</v>
      </c>
      <c r="G7" s="4">
        <v>21400</v>
      </c>
      <c r="H7" s="3" t="s">
        <v>782</v>
      </c>
      <c r="I7" s="3">
        <v>1</v>
      </c>
      <c r="J7" s="4">
        <v>21400</v>
      </c>
      <c r="K7">
        <v>61251003</v>
      </c>
      <c r="L7" t="s">
        <v>841</v>
      </c>
    </row>
    <row r="8" spans="1:12" x14ac:dyDescent="0.35">
      <c r="A8" s="8">
        <v>881431</v>
      </c>
      <c r="B8" s="4">
        <f>EXAMENES[[#This Row],[VALOR_UND]]*EXAMENES[[#This Row],[CANT_A_PAGAR]]</f>
        <v>21400</v>
      </c>
      <c r="C8" s="3" t="s">
        <v>581</v>
      </c>
      <c r="D8" s="3" t="s">
        <v>5</v>
      </c>
      <c r="E8" s="3" t="s">
        <v>772</v>
      </c>
      <c r="F8" s="3" t="s">
        <v>778</v>
      </c>
      <c r="G8" s="4">
        <v>21400</v>
      </c>
      <c r="H8" s="3" t="s">
        <v>782</v>
      </c>
      <c r="I8" s="3">
        <v>1</v>
      </c>
      <c r="J8" s="4">
        <v>21400</v>
      </c>
      <c r="K8">
        <v>61251003</v>
      </c>
      <c r="L8" t="s">
        <v>841</v>
      </c>
    </row>
    <row r="9" spans="1:12" x14ac:dyDescent="0.35">
      <c r="A9" s="8">
        <v>881432</v>
      </c>
      <c r="B9" s="4">
        <f>EXAMENES[[#This Row],[VALOR_UND]]*EXAMENES[[#This Row],[CANT_A_PAGAR]]</f>
        <v>21400</v>
      </c>
      <c r="C9" s="3" t="s">
        <v>583</v>
      </c>
      <c r="D9" s="3" t="s">
        <v>5</v>
      </c>
      <c r="E9" s="3" t="s">
        <v>772</v>
      </c>
      <c r="F9" s="3" t="s">
        <v>778</v>
      </c>
      <c r="G9" s="4">
        <v>21400</v>
      </c>
      <c r="H9" s="3" t="s">
        <v>782</v>
      </c>
      <c r="I9" s="3">
        <v>1</v>
      </c>
      <c r="J9" s="4">
        <v>21400</v>
      </c>
      <c r="K9">
        <v>61251003</v>
      </c>
      <c r="L9" t="s">
        <v>841</v>
      </c>
    </row>
    <row r="10" spans="1:12" x14ac:dyDescent="0.35">
      <c r="A10" s="8">
        <v>881434</v>
      </c>
      <c r="B10" s="4">
        <f>EXAMENES[[#This Row],[VALOR_UND]]*EXAMENES[[#This Row],[CANT_A_PAGAR]]</f>
        <v>38100</v>
      </c>
      <c r="C10" s="3" t="s">
        <v>587</v>
      </c>
      <c r="D10" s="3" t="s">
        <v>5</v>
      </c>
      <c r="E10" s="3" t="s">
        <v>772</v>
      </c>
      <c r="F10" s="3" t="s">
        <v>778</v>
      </c>
      <c r="G10" s="4">
        <v>38100</v>
      </c>
      <c r="H10" s="3" t="s">
        <v>782</v>
      </c>
      <c r="I10" s="3">
        <v>1</v>
      </c>
      <c r="J10" s="4">
        <v>38100</v>
      </c>
      <c r="K10">
        <v>61251003</v>
      </c>
      <c r="L10" t="s">
        <v>841</v>
      </c>
    </row>
    <row r="11" spans="1:12" x14ac:dyDescent="0.35">
      <c r="A11" s="9" t="s">
        <v>804</v>
      </c>
      <c r="B11" s="2">
        <f>EXAMENES[[#This Row],[VALOR_UND]]*EXAMENES[[#This Row],[CANT_A_PAGAR]]</f>
        <v>26200</v>
      </c>
      <c r="C11" t="s">
        <v>805</v>
      </c>
      <c r="D11" t="s">
        <v>5</v>
      </c>
      <c r="E11" t="s">
        <v>772</v>
      </c>
      <c r="F11" t="s">
        <v>777</v>
      </c>
      <c r="G11" s="2">
        <v>26200</v>
      </c>
      <c r="H11" t="s">
        <v>782</v>
      </c>
      <c r="I11">
        <v>1</v>
      </c>
      <c r="J11" s="2">
        <v>26200</v>
      </c>
      <c r="K11">
        <v>61251003</v>
      </c>
      <c r="L11" t="s">
        <v>841</v>
      </c>
    </row>
    <row r="12" spans="1:12" x14ac:dyDescent="0.35">
      <c r="A12" s="9">
        <v>60100</v>
      </c>
      <c r="B12" s="2">
        <f>EXAMENES[[#This Row],[VALOR_UND]]*EXAMENES[[#This Row],[CANT_A_PAGAR]]</f>
        <v>87900</v>
      </c>
      <c r="C12" t="s">
        <v>219</v>
      </c>
      <c r="D12" t="s">
        <v>220</v>
      </c>
      <c r="E12" t="s">
        <v>775</v>
      </c>
      <c r="F12" t="s">
        <v>775</v>
      </c>
      <c r="G12" s="2">
        <v>87900</v>
      </c>
      <c r="H12" t="s">
        <v>782</v>
      </c>
      <c r="I12">
        <v>1</v>
      </c>
      <c r="J12" s="2">
        <v>87900</v>
      </c>
      <c r="K12">
        <v>61251005</v>
      </c>
      <c r="L12" t="s">
        <v>843</v>
      </c>
    </row>
    <row r="13" spans="1:12" x14ac:dyDescent="0.35">
      <c r="A13" s="9">
        <v>61002</v>
      </c>
      <c r="B13" s="2">
        <f>EXAMENES[[#This Row],[VALOR_UND]]*EXAMENES[[#This Row],[CANT_A_PAGAR]]</f>
        <v>87900</v>
      </c>
      <c r="C13" t="s">
        <v>222</v>
      </c>
      <c r="D13" t="s">
        <v>220</v>
      </c>
      <c r="E13" t="s">
        <v>775</v>
      </c>
      <c r="F13" t="s">
        <v>775</v>
      </c>
      <c r="G13" s="2">
        <v>87900</v>
      </c>
      <c r="H13" t="s">
        <v>782</v>
      </c>
      <c r="I13">
        <v>1</v>
      </c>
      <c r="J13" s="2">
        <v>87900</v>
      </c>
      <c r="K13">
        <v>61251005</v>
      </c>
      <c r="L13" t="s">
        <v>843</v>
      </c>
    </row>
    <row r="14" spans="1:12" x14ac:dyDescent="0.35">
      <c r="A14" s="9">
        <v>61302</v>
      </c>
      <c r="B14" s="2">
        <f>EXAMENES[[#This Row],[VALOR_UND]]*EXAMENES[[#This Row],[CANT_A_PAGAR]]</f>
        <v>87900</v>
      </c>
      <c r="C14" t="s">
        <v>226</v>
      </c>
      <c r="D14" t="s">
        <v>220</v>
      </c>
      <c r="E14" t="s">
        <v>775</v>
      </c>
      <c r="F14" t="s">
        <v>775</v>
      </c>
      <c r="G14" s="2">
        <v>87900</v>
      </c>
      <c r="H14" t="s">
        <v>782</v>
      </c>
      <c r="I14">
        <v>1</v>
      </c>
      <c r="J14" s="2">
        <v>87900</v>
      </c>
      <c r="K14">
        <v>61251005</v>
      </c>
      <c r="L14" t="s">
        <v>843</v>
      </c>
    </row>
    <row r="15" spans="1:12" x14ac:dyDescent="0.35">
      <c r="A15" s="9">
        <v>213469</v>
      </c>
      <c r="B15" s="2">
        <f>EXAMENES[[#This Row],[VALOR_UND]]*EXAMENES[[#This Row],[CANT_A_PAGAR]]</f>
        <v>87900</v>
      </c>
      <c r="C15" t="s">
        <v>230</v>
      </c>
      <c r="D15" t="s">
        <v>220</v>
      </c>
      <c r="E15" t="s">
        <v>775</v>
      </c>
      <c r="F15" t="s">
        <v>775</v>
      </c>
      <c r="G15" s="2">
        <v>87900</v>
      </c>
      <c r="H15" t="s">
        <v>782</v>
      </c>
      <c r="I15">
        <v>1</v>
      </c>
      <c r="J15" s="2">
        <v>87900</v>
      </c>
      <c r="K15">
        <v>61251005</v>
      </c>
      <c r="L15" t="s">
        <v>843</v>
      </c>
    </row>
    <row r="16" spans="1:12" x14ac:dyDescent="0.35">
      <c r="A16" s="9">
        <v>261001</v>
      </c>
      <c r="B16" s="2">
        <f>EXAMENES[[#This Row],[VALOR_UND]]*EXAMENES[[#This Row],[CANT_A_PAGAR]]</f>
        <v>87900</v>
      </c>
      <c r="C16" t="s">
        <v>232</v>
      </c>
      <c r="D16" t="s">
        <v>220</v>
      </c>
      <c r="E16" t="s">
        <v>775</v>
      </c>
      <c r="F16" t="s">
        <v>775</v>
      </c>
      <c r="G16" s="2">
        <v>87900</v>
      </c>
      <c r="H16" t="s">
        <v>782</v>
      </c>
      <c r="I16">
        <v>1</v>
      </c>
      <c r="J16" s="2">
        <v>87900</v>
      </c>
      <c r="K16">
        <v>61251005</v>
      </c>
      <c r="L16" t="s">
        <v>843</v>
      </c>
    </row>
    <row r="17" spans="1:12" x14ac:dyDescent="0.35">
      <c r="A17" s="9">
        <v>332601</v>
      </c>
      <c r="B17" s="2">
        <f>EXAMENES[[#This Row],[VALOR_UND]]*EXAMENES[[#This Row],[CANT_A_PAGAR]]</f>
        <v>87900</v>
      </c>
      <c r="C17" t="s">
        <v>234</v>
      </c>
      <c r="D17" t="s">
        <v>220</v>
      </c>
      <c r="E17" t="s">
        <v>775</v>
      </c>
      <c r="F17" t="s">
        <v>775</v>
      </c>
      <c r="G17" s="2">
        <v>87900</v>
      </c>
      <c r="H17" t="s">
        <v>782</v>
      </c>
      <c r="I17">
        <v>1</v>
      </c>
      <c r="J17" s="2">
        <v>87900</v>
      </c>
      <c r="K17">
        <v>61251005</v>
      </c>
      <c r="L17" t="s">
        <v>843</v>
      </c>
    </row>
    <row r="18" spans="1:12" x14ac:dyDescent="0.35">
      <c r="A18" s="9">
        <v>401101</v>
      </c>
      <c r="B18" s="2">
        <f>EXAMENES[[#This Row],[VALOR_UND]]*EXAMENES[[#This Row],[CANT_A_PAGAR]]</f>
        <v>87900</v>
      </c>
      <c r="C18" t="s">
        <v>236</v>
      </c>
      <c r="D18" t="s">
        <v>220</v>
      </c>
      <c r="E18" t="s">
        <v>775</v>
      </c>
      <c r="F18" t="s">
        <v>775</v>
      </c>
      <c r="G18" s="2">
        <v>87900</v>
      </c>
      <c r="H18" t="s">
        <v>782</v>
      </c>
      <c r="I18">
        <v>1</v>
      </c>
      <c r="J18" s="2">
        <v>87900</v>
      </c>
      <c r="K18">
        <v>61251005</v>
      </c>
      <c r="L18" t="s">
        <v>843</v>
      </c>
    </row>
    <row r="19" spans="1:12" x14ac:dyDescent="0.35">
      <c r="A19" s="9">
        <v>501002</v>
      </c>
      <c r="B19" s="2">
        <f>EXAMENES[[#This Row],[VALOR_UND]]*EXAMENES[[#This Row],[CANT_A_PAGAR]]</f>
        <v>87900</v>
      </c>
      <c r="C19" t="s">
        <v>238</v>
      </c>
      <c r="D19" t="s">
        <v>220</v>
      </c>
      <c r="E19" t="s">
        <v>775</v>
      </c>
      <c r="F19" t="s">
        <v>775</v>
      </c>
      <c r="G19" s="2">
        <v>87900</v>
      </c>
      <c r="H19" t="s">
        <v>782</v>
      </c>
      <c r="I19">
        <v>1</v>
      </c>
      <c r="J19" s="2">
        <v>87900</v>
      </c>
      <c r="K19">
        <v>61251005</v>
      </c>
      <c r="L19" t="s">
        <v>843</v>
      </c>
    </row>
    <row r="20" spans="1:12" x14ac:dyDescent="0.35">
      <c r="A20" s="9">
        <v>501004</v>
      </c>
      <c r="B20" s="2">
        <f>EXAMENES[[#This Row],[VALOR_UND]]*EXAMENES[[#This Row],[CANT_A_PAGAR]]</f>
        <v>87900</v>
      </c>
      <c r="C20" t="s">
        <v>240</v>
      </c>
      <c r="D20" t="s">
        <v>220</v>
      </c>
      <c r="E20" t="s">
        <v>775</v>
      </c>
      <c r="F20" t="s">
        <v>775</v>
      </c>
      <c r="G20" s="2">
        <v>87900</v>
      </c>
      <c r="H20" t="s">
        <v>782</v>
      </c>
      <c r="I20">
        <v>1</v>
      </c>
      <c r="J20" s="2">
        <v>87900</v>
      </c>
      <c r="K20">
        <v>61251005</v>
      </c>
      <c r="L20" t="s">
        <v>843</v>
      </c>
    </row>
    <row r="21" spans="1:12" x14ac:dyDescent="0.35">
      <c r="A21" s="9">
        <v>521002</v>
      </c>
      <c r="B21" s="2">
        <f>EXAMENES[[#This Row],[VALOR_UND]]*EXAMENES[[#This Row],[CANT_A_PAGAR]]</f>
        <v>87900</v>
      </c>
      <c r="C21" t="s">
        <v>242</v>
      </c>
      <c r="D21" t="s">
        <v>220</v>
      </c>
      <c r="E21" t="s">
        <v>775</v>
      </c>
      <c r="F21" t="s">
        <v>775</v>
      </c>
      <c r="G21" s="2">
        <v>87900</v>
      </c>
      <c r="H21" t="s">
        <v>782</v>
      </c>
      <c r="I21">
        <v>1</v>
      </c>
      <c r="J21" s="2">
        <v>87900</v>
      </c>
      <c r="K21">
        <v>61251005</v>
      </c>
      <c r="L21" t="s">
        <v>843</v>
      </c>
    </row>
    <row r="22" spans="1:12" x14ac:dyDescent="0.35">
      <c r="A22" s="9">
        <v>552310</v>
      </c>
      <c r="B22" s="2">
        <f>EXAMENES[[#This Row],[VALOR_UND]]*EXAMENES[[#This Row],[CANT_A_PAGAR]]</f>
        <v>87900</v>
      </c>
      <c r="C22" t="s">
        <v>244</v>
      </c>
      <c r="D22" t="s">
        <v>220</v>
      </c>
      <c r="E22" t="s">
        <v>775</v>
      </c>
      <c r="F22" t="s">
        <v>775</v>
      </c>
      <c r="G22" s="2">
        <v>87900</v>
      </c>
      <c r="H22" t="s">
        <v>782</v>
      </c>
      <c r="I22">
        <v>1</v>
      </c>
      <c r="J22" s="2">
        <v>87900</v>
      </c>
      <c r="K22">
        <v>61251005</v>
      </c>
      <c r="L22" t="s">
        <v>843</v>
      </c>
    </row>
    <row r="23" spans="1:12" x14ac:dyDescent="0.35">
      <c r="A23" s="9">
        <v>552603</v>
      </c>
      <c r="B23" s="2">
        <f>EXAMENES[[#This Row],[VALOR_UND]]*EXAMENES[[#This Row],[CANT_A_PAGAR]]</f>
        <v>87900</v>
      </c>
      <c r="C23" t="s">
        <v>246</v>
      </c>
      <c r="D23" t="s">
        <v>220</v>
      </c>
      <c r="E23" t="s">
        <v>775</v>
      </c>
      <c r="F23" t="s">
        <v>775</v>
      </c>
      <c r="G23" s="2">
        <v>87900</v>
      </c>
      <c r="H23" t="s">
        <v>782</v>
      </c>
      <c r="I23">
        <v>1</v>
      </c>
      <c r="J23" s="2">
        <v>87900</v>
      </c>
      <c r="K23">
        <v>61251005</v>
      </c>
      <c r="L23" t="s">
        <v>843</v>
      </c>
    </row>
    <row r="24" spans="1:12" x14ac:dyDescent="0.35">
      <c r="A24" s="9">
        <v>601101</v>
      </c>
      <c r="B24" s="2">
        <f>EXAMENES[[#This Row],[VALOR_UND]]*EXAMENES[[#This Row],[CANT_A_PAGAR]]</f>
        <v>87900</v>
      </c>
      <c r="C24" t="s">
        <v>248</v>
      </c>
      <c r="D24" t="s">
        <v>220</v>
      </c>
      <c r="E24" t="s">
        <v>775</v>
      </c>
      <c r="F24" t="s">
        <v>775</v>
      </c>
      <c r="G24" s="2">
        <v>87900</v>
      </c>
      <c r="H24" t="s">
        <v>782</v>
      </c>
      <c r="I24">
        <v>1</v>
      </c>
      <c r="J24" s="2">
        <v>87900</v>
      </c>
      <c r="K24">
        <v>61251005</v>
      </c>
      <c r="L24" t="s">
        <v>843</v>
      </c>
    </row>
    <row r="25" spans="1:12" x14ac:dyDescent="0.35">
      <c r="A25" s="9">
        <v>601102</v>
      </c>
      <c r="B25" s="2">
        <f>EXAMENES[[#This Row],[VALOR_UND]]*EXAMENES[[#This Row],[CANT_A_PAGAR]]</f>
        <v>87900</v>
      </c>
      <c r="C25" t="s">
        <v>250</v>
      </c>
      <c r="D25" t="s">
        <v>220</v>
      </c>
      <c r="E25" t="s">
        <v>775</v>
      </c>
      <c r="F25" t="s">
        <v>775</v>
      </c>
      <c r="G25" s="2">
        <v>87900</v>
      </c>
      <c r="H25" t="s">
        <v>782</v>
      </c>
      <c r="I25">
        <v>1</v>
      </c>
      <c r="J25" s="2">
        <v>87900</v>
      </c>
      <c r="K25">
        <v>61251005</v>
      </c>
      <c r="L25" t="s">
        <v>843</v>
      </c>
    </row>
    <row r="26" spans="1:12" x14ac:dyDescent="0.35">
      <c r="A26" s="9">
        <v>61100</v>
      </c>
      <c r="B26" s="2">
        <f>EXAMENES[[#This Row],[VALOR_UND]]*EXAMENES[[#This Row],[CANT_A_PAGAR]]</f>
        <v>87900</v>
      </c>
      <c r="C26" t="s">
        <v>224</v>
      </c>
      <c r="D26" t="s">
        <v>220</v>
      </c>
      <c r="E26" t="s">
        <v>775</v>
      </c>
      <c r="F26" t="s">
        <v>775</v>
      </c>
      <c r="G26" s="2">
        <v>87900</v>
      </c>
      <c r="H26" t="s">
        <v>782</v>
      </c>
      <c r="I26">
        <v>1</v>
      </c>
      <c r="J26" s="2">
        <v>87900</v>
      </c>
      <c r="K26">
        <v>61251005</v>
      </c>
      <c r="L26" t="s">
        <v>843</v>
      </c>
    </row>
    <row r="27" spans="1:12" x14ac:dyDescent="0.35">
      <c r="A27" s="9">
        <v>832101</v>
      </c>
      <c r="B27" s="2">
        <f>EXAMENES[[#This Row],[VALOR_UND]]*EXAMENES[[#This Row],[CANT_A_PAGAR]]</f>
        <v>87900</v>
      </c>
      <c r="C27" t="s">
        <v>253</v>
      </c>
      <c r="D27" t="s">
        <v>220</v>
      </c>
      <c r="E27" t="s">
        <v>775</v>
      </c>
      <c r="F27" t="s">
        <v>775</v>
      </c>
      <c r="G27" s="2">
        <v>87900</v>
      </c>
      <c r="H27" t="s">
        <v>782</v>
      </c>
      <c r="I27">
        <v>1</v>
      </c>
      <c r="J27" s="2">
        <v>87900</v>
      </c>
      <c r="K27">
        <v>61251005</v>
      </c>
      <c r="L27" t="s">
        <v>843</v>
      </c>
    </row>
    <row r="28" spans="1:12" x14ac:dyDescent="0.35">
      <c r="A28" s="9">
        <v>851101</v>
      </c>
      <c r="B28" s="2">
        <f>EXAMENES[[#This Row],[VALOR_UND]]*EXAMENES[[#This Row],[CANT_A_PAGAR]]</f>
        <v>87900</v>
      </c>
      <c r="C28" t="s">
        <v>255</v>
      </c>
      <c r="D28" t="s">
        <v>220</v>
      </c>
      <c r="E28" t="s">
        <v>775</v>
      </c>
      <c r="F28" t="s">
        <v>775</v>
      </c>
      <c r="G28" s="2">
        <v>87900</v>
      </c>
      <c r="H28" t="s">
        <v>782</v>
      </c>
      <c r="I28">
        <v>1</v>
      </c>
      <c r="J28" s="2">
        <v>87900</v>
      </c>
      <c r="K28">
        <v>61251005</v>
      </c>
      <c r="L28" t="s">
        <v>843</v>
      </c>
    </row>
    <row r="29" spans="1:12" x14ac:dyDescent="0.35">
      <c r="A29" s="9">
        <v>851102</v>
      </c>
      <c r="B29" s="2">
        <f>EXAMENES[[#This Row],[VALOR_UND]]*EXAMENES[[#This Row],[CANT_A_PAGAR]]</f>
        <v>87900</v>
      </c>
      <c r="C29" t="s">
        <v>257</v>
      </c>
      <c r="D29" t="s">
        <v>220</v>
      </c>
      <c r="E29" t="s">
        <v>775</v>
      </c>
      <c r="F29" t="s">
        <v>775</v>
      </c>
      <c r="G29" s="2">
        <v>87900</v>
      </c>
      <c r="H29" t="s">
        <v>782</v>
      </c>
      <c r="I29">
        <v>1</v>
      </c>
      <c r="J29" s="2">
        <v>87900</v>
      </c>
      <c r="K29">
        <v>61251005</v>
      </c>
      <c r="L29" t="s">
        <v>843</v>
      </c>
    </row>
    <row r="30" spans="1:12" x14ac:dyDescent="0.35">
      <c r="A30" s="9">
        <v>851103</v>
      </c>
      <c r="B30" s="2">
        <f>EXAMENES[[#This Row],[VALOR_UND]]*EXAMENES[[#This Row],[CANT_A_PAGAR]]</f>
        <v>87900</v>
      </c>
      <c r="C30" t="s">
        <v>259</v>
      </c>
      <c r="D30" t="s">
        <v>220</v>
      </c>
      <c r="E30" t="s">
        <v>775</v>
      </c>
      <c r="F30" t="s">
        <v>775</v>
      </c>
      <c r="G30" s="2">
        <v>87900</v>
      </c>
      <c r="H30" t="s">
        <v>782</v>
      </c>
      <c r="I30">
        <v>1</v>
      </c>
      <c r="J30" s="2">
        <v>87900</v>
      </c>
      <c r="K30">
        <v>61251005</v>
      </c>
      <c r="L30" t="s">
        <v>843</v>
      </c>
    </row>
    <row r="31" spans="1:12" x14ac:dyDescent="0.35">
      <c r="A31" s="9">
        <v>851301</v>
      </c>
      <c r="B31" s="2">
        <f>EXAMENES[[#This Row],[VALOR_UND]]*EXAMENES[[#This Row],[CANT_A_PAGAR]]</f>
        <v>87900</v>
      </c>
      <c r="C31" t="s">
        <v>261</v>
      </c>
      <c r="D31" t="s">
        <v>220</v>
      </c>
      <c r="E31" t="s">
        <v>775</v>
      </c>
      <c r="F31" t="s">
        <v>775</v>
      </c>
      <c r="G31" s="2">
        <v>87900</v>
      </c>
      <c r="H31" t="s">
        <v>782</v>
      </c>
      <c r="I31">
        <v>1</v>
      </c>
      <c r="J31" s="2">
        <v>87900</v>
      </c>
      <c r="K31">
        <v>61251005</v>
      </c>
      <c r="L31" t="s">
        <v>843</v>
      </c>
    </row>
    <row r="32" spans="1:12" x14ac:dyDescent="0.35">
      <c r="A32" s="9">
        <v>851302</v>
      </c>
      <c r="B32" s="2">
        <f>EXAMENES[[#This Row],[VALOR_UND]]*EXAMENES[[#This Row],[CANT_A_PAGAR]]</f>
        <v>87900</v>
      </c>
      <c r="C32" t="s">
        <v>263</v>
      </c>
      <c r="D32" t="s">
        <v>220</v>
      </c>
      <c r="E32" t="s">
        <v>775</v>
      </c>
      <c r="F32" t="s">
        <v>775</v>
      </c>
      <c r="G32" s="2">
        <v>87900</v>
      </c>
      <c r="H32" t="s">
        <v>782</v>
      </c>
      <c r="I32">
        <v>1</v>
      </c>
      <c r="J32" s="2">
        <v>87900</v>
      </c>
      <c r="K32">
        <v>61251005</v>
      </c>
      <c r="L32" t="s">
        <v>843</v>
      </c>
    </row>
    <row r="33" spans="1:12" x14ac:dyDescent="0.35">
      <c r="A33" s="9">
        <v>861101</v>
      </c>
      <c r="B33" s="2">
        <f>EXAMENES[[#This Row],[VALOR_UND]]*EXAMENES[[#This Row],[CANT_A_PAGAR]]</f>
        <v>87900</v>
      </c>
      <c r="C33" t="s">
        <v>265</v>
      </c>
      <c r="D33" t="s">
        <v>220</v>
      </c>
      <c r="E33" t="s">
        <v>775</v>
      </c>
      <c r="F33" t="s">
        <v>775</v>
      </c>
      <c r="G33" s="2">
        <v>87900</v>
      </c>
      <c r="H33" t="s">
        <v>782</v>
      </c>
      <c r="I33">
        <v>1</v>
      </c>
      <c r="J33" s="2">
        <v>87900</v>
      </c>
      <c r="K33">
        <v>61251005</v>
      </c>
      <c r="L33" t="s">
        <v>843</v>
      </c>
    </row>
    <row r="34" spans="1:12" x14ac:dyDescent="0.35">
      <c r="A34" s="9">
        <v>881135</v>
      </c>
      <c r="B34" s="2">
        <f>EXAMENES[[#This Row],[VALOR_UND]]*EXAMENES[[#This Row],[CANT_A_PAGAR]]</f>
        <v>87900</v>
      </c>
      <c r="C34" t="s">
        <v>224</v>
      </c>
      <c r="D34" t="s">
        <v>220</v>
      </c>
      <c r="E34" t="s">
        <v>775</v>
      </c>
      <c r="F34" t="s">
        <v>775</v>
      </c>
      <c r="G34" s="2">
        <v>87900</v>
      </c>
      <c r="H34" t="s">
        <v>782</v>
      </c>
      <c r="I34">
        <v>1</v>
      </c>
      <c r="J34" s="2">
        <v>87900</v>
      </c>
      <c r="K34">
        <v>61251005</v>
      </c>
      <c r="L34" t="s">
        <v>843</v>
      </c>
    </row>
    <row r="35" spans="1:12" s="3" customFormat="1" x14ac:dyDescent="0.35">
      <c r="A35" s="9">
        <v>881221</v>
      </c>
      <c r="B35" s="2">
        <f>EXAMENES[[#This Row],[VALOR_UND]]*EXAMENES[[#This Row],[CANT_A_PAGAR]]</f>
        <v>87900</v>
      </c>
      <c r="C35" t="s">
        <v>236</v>
      </c>
      <c r="D35" t="s">
        <v>220</v>
      </c>
      <c r="E35" t="s">
        <v>775</v>
      </c>
      <c r="F35" t="s">
        <v>775</v>
      </c>
      <c r="G35" s="2">
        <v>87900</v>
      </c>
      <c r="H35" t="s">
        <v>782</v>
      </c>
      <c r="I35">
        <v>1</v>
      </c>
      <c r="J35" s="2">
        <v>87900</v>
      </c>
      <c r="K35">
        <v>61251005</v>
      </c>
      <c r="L35" t="s">
        <v>843</v>
      </c>
    </row>
    <row r="36" spans="1:12" x14ac:dyDescent="0.35">
      <c r="A36" s="9">
        <v>890202</v>
      </c>
      <c r="B36" s="2">
        <f>EXAMENES[[#This Row],[VALOR_UND]]*EXAMENES[[#This Row],[CANT_A_PAGAR]]</f>
        <v>59000</v>
      </c>
      <c r="C36" t="s">
        <v>744</v>
      </c>
      <c r="D36" t="s">
        <v>745</v>
      </c>
      <c r="E36" t="s">
        <v>774</v>
      </c>
      <c r="F36" t="s">
        <v>774</v>
      </c>
      <c r="G36" s="2">
        <v>59000</v>
      </c>
      <c r="H36" t="s">
        <v>782</v>
      </c>
      <c r="I36">
        <v>1</v>
      </c>
      <c r="J36" s="2">
        <v>59000</v>
      </c>
    </row>
    <row r="37" spans="1:12" x14ac:dyDescent="0.35">
      <c r="A37" s="9">
        <v>890224</v>
      </c>
      <c r="B37" s="2">
        <f>EXAMENES[[#This Row],[VALOR_UND]]*EXAMENES[[#This Row],[CANT_A_PAGAR]]</f>
        <v>59000</v>
      </c>
      <c r="C37" t="s">
        <v>747</v>
      </c>
      <c r="D37" t="s">
        <v>745</v>
      </c>
      <c r="E37" t="s">
        <v>774</v>
      </c>
      <c r="F37" t="s">
        <v>774</v>
      </c>
      <c r="G37" s="2">
        <v>59000</v>
      </c>
      <c r="H37" t="s">
        <v>782</v>
      </c>
      <c r="I37">
        <v>1</v>
      </c>
      <c r="J37" s="2">
        <v>59000</v>
      </c>
    </row>
    <row r="38" spans="1:12" s="3" customFormat="1" x14ac:dyDescent="0.35">
      <c r="A38" s="9">
        <v>890243</v>
      </c>
      <c r="B38" s="2">
        <f>EXAMENES[[#This Row],[VALOR_UND]]*EXAMENES[[#This Row],[CANT_A_PAGAR]]</f>
        <v>59000</v>
      </c>
      <c r="C38" t="s">
        <v>749</v>
      </c>
      <c r="D38" t="s">
        <v>745</v>
      </c>
      <c r="E38" t="s">
        <v>774</v>
      </c>
      <c r="F38" t="s">
        <v>774</v>
      </c>
      <c r="G38" s="2">
        <v>59000</v>
      </c>
      <c r="H38" t="s">
        <v>782</v>
      </c>
      <c r="I38">
        <v>1</v>
      </c>
      <c r="J38" s="2">
        <v>59000</v>
      </c>
    </row>
    <row r="39" spans="1:12" x14ac:dyDescent="0.35">
      <c r="A39" s="9">
        <v>890343</v>
      </c>
      <c r="B39" s="2">
        <f>EXAMENES[[#This Row],[VALOR_UND]]*EXAMENES[[#This Row],[CANT_A_PAGAR]]</f>
        <v>59000</v>
      </c>
      <c r="C39" t="s">
        <v>751</v>
      </c>
      <c r="D39" t="s">
        <v>745</v>
      </c>
      <c r="E39" t="s">
        <v>774</v>
      </c>
      <c r="F39" t="s">
        <v>774</v>
      </c>
      <c r="G39" s="2">
        <v>59000</v>
      </c>
      <c r="H39" t="s">
        <v>782</v>
      </c>
      <c r="I39">
        <v>1</v>
      </c>
      <c r="J39" s="2">
        <v>59000</v>
      </c>
    </row>
    <row r="40" spans="1:12" x14ac:dyDescent="0.35">
      <c r="A40" s="9" t="s">
        <v>106</v>
      </c>
      <c r="B40" s="2">
        <f>EXAMENES[[#This Row],[VALOR_UND]]*EXAMENES[[#This Row],[CANT_A_PAGAR]]</f>
        <v>52400</v>
      </c>
      <c r="C40" t="s">
        <v>107</v>
      </c>
      <c r="D40" t="s">
        <v>77</v>
      </c>
      <c r="E40" t="s">
        <v>773</v>
      </c>
      <c r="F40" t="s">
        <v>773</v>
      </c>
      <c r="G40" s="2">
        <v>52400</v>
      </c>
      <c r="H40" t="s">
        <v>782</v>
      </c>
      <c r="I40">
        <v>1</v>
      </c>
      <c r="J40" s="2">
        <v>52400</v>
      </c>
      <c r="K40">
        <v>61251004</v>
      </c>
      <c r="L40" t="s">
        <v>842</v>
      </c>
    </row>
    <row r="41" spans="1:12" x14ac:dyDescent="0.35">
      <c r="A41" s="9" t="s">
        <v>108</v>
      </c>
      <c r="B41" s="2">
        <f>EXAMENES[[#This Row],[VALOR_UND]]*EXAMENES[[#This Row],[CANT_A_PAGAR]]</f>
        <v>52400</v>
      </c>
      <c r="C41" t="s">
        <v>109</v>
      </c>
      <c r="D41" t="s">
        <v>77</v>
      </c>
      <c r="E41" t="s">
        <v>773</v>
      </c>
      <c r="F41" t="s">
        <v>773</v>
      </c>
      <c r="G41" s="2">
        <v>52400</v>
      </c>
      <c r="H41" t="s">
        <v>782</v>
      </c>
      <c r="I41">
        <v>1</v>
      </c>
      <c r="J41" s="2">
        <v>52400</v>
      </c>
      <c r="K41">
        <v>61251004</v>
      </c>
      <c r="L41" t="s">
        <v>842</v>
      </c>
    </row>
    <row r="42" spans="1:12" x14ac:dyDescent="0.35">
      <c r="A42" s="9" t="s">
        <v>134</v>
      </c>
      <c r="B42" s="2">
        <f>EXAMENES[[#This Row],[VALOR_UND]]*EXAMENES[[#This Row],[CANT_A_PAGAR]]</f>
        <v>52400</v>
      </c>
      <c r="C42" t="s">
        <v>135</v>
      </c>
      <c r="D42" t="s">
        <v>77</v>
      </c>
      <c r="E42" t="s">
        <v>773</v>
      </c>
      <c r="F42" t="s">
        <v>773</v>
      </c>
      <c r="G42" s="2">
        <v>52400</v>
      </c>
      <c r="H42" t="s">
        <v>782</v>
      </c>
      <c r="I42">
        <v>1</v>
      </c>
      <c r="J42" s="2">
        <v>52400</v>
      </c>
      <c r="K42">
        <v>61251004</v>
      </c>
      <c r="L42" t="s">
        <v>842</v>
      </c>
    </row>
    <row r="43" spans="1:12" s="3" customFormat="1" x14ac:dyDescent="0.35">
      <c r="A43" s="8">
        <v>881034</v>
      </c>
      <c r="B43" s="4">
        <f>EXAMENES[[#This Row],[VALOR_UND]]*EXAMENES[[#This Row],[CANT_A_PAGAR]]</f>
        <v>27000</v>
      </c>
      <c r="C43" s="3" t="s">
        <v>515</v>
      </c>
      <c r="D43" s="3" t="s">
        <v>5</v>
      </c>
      <c r="E43" s="3" t="s">
        <v>772</v>
      </c>
      <c r="F43" s="3" t="s">
        <v>778</v>
      </c>
      <c r="G43" s="4">
        <v>27000</v>
      </c>
      <c r="H43" s="3" t="s">
        <v>782</v>
      </c>
      <c r="I43" s="3">
        <v>1</v>
      </c>
      <c r="J43" s="4">
        <v>27000</v>
      </c>
      <c r="K43" s="3">
        <v>61251003</v>
      </c>
      <c r="L43" s="3" t="s">
        <v>841</v>
      </c>
    </row>
    <row r="44" spans="1:12" x14ac:dyDescent="0.35">
      <c r="A44" s="9">
        <v>881118</v>
      </c>
      <c r="B44" s="2">
        <f>EXAMENES[[#This Row],[VALOR_UND]]*EXAMENES[[#This Row],[CANT_A_PAGAR]]</f>
        <v>52400</v>
      </c>
      <c r="C44" t="s">
        <v>521</v>
      </c>
      <c r="D44" t="s">
        <v>77</v>
      </c>
      <c r="E44" t="s">
        <v>773</v>
      </c>
      <c r="F44" t="s">
        <v>773</v>
      </c>
      <c r="G44" s="2">
        <v>52400</v>
      </c>
      <c r="H44" t="s">
        <v>782</v>
      </c>
      <c r="I44">
        <v>1</v>
      </c>
      <c r="J44" s="2">
        <v>52400</v>
      </c>
      <c r="K44">
        <v>61251004</v>
      </c>
      <c r="L44" t="s">
        <v>842</v>
      </c>
    </row>
    <row r="45" spans="1:12" x14ac:dyDescent="0.35">
      <c r="A45" s="9">
        <v>881360</v>
      </c>
      <c r="B45" s="2">
        <f>EXAMENES[[#This Row],[VALOR_UND]]*EXAMENES[[#This Row],[CANT_A_PAGAR]]</f>
        <v>52400</v>
      </c>
      <c r="C45" t="s">
        <v>569</v>
      </c>
      <c r="D45" t="s">
        <v>77</v>
      </c>
      <c r="E45" t="s">
        <v>773</v>
      </c>
      <c r="F45" t="s">
        <v>773</v>
      </c>
      <c r="G45" s="2">
        <v>52400</v>
      </c>
      <c r="H45" t="s">
        <v>782</v>
      </c>
      <c r="I45">
        <v>1</v>
      </c>
      <c r="J45" s="2">
        <v>52400</v>
      </c>
      <c r="K45">
        <v>61251004</v>
      </c>
      <c r="L45" t="s">
        <v>842</v>
      </c>
    </row>
    <row r="46" spans="1:12" x14ac:dyDescent="0.35">
      <c r="A46" s="9">
        <v>881362</v>
      </c>
      <c r="B46" s="2">
        <f>EXAMENES[[#This Row],[VALOR_UND]]*EXAMENES[[#This Row],[CANT_A_PAGAR]]</f>
        <v>52400</v>
      </c>
      <c r="C46" t="s">
        <v>571</v>
      </c>
      <c r="D46" t="s">
        <v>77</v>
      </c>
      <c r="E46" t="s">
        <v>773</v>
      </c>
      <c r="F46" t="s">
        <v>773</v>
      </c>
      <c r="G46" s="2">
        <v>52400</v>
      </c>
      <c r="H46" t="s">
        <v>782</v>
      </c>
      <c r="I46">
        <v>1</v>
      </c>
      <c r="J46" s="2">
        <v>52400</v>
      </c>
      <c r="K46">
        <v>61251004</v>
      </c>
      <c r="L46" t="s">
        <v>842</v>
      </c>
    </row>
    <row r="47" spans="1:12" x14ac:dyDescent="0.35">
      <c r="A47" s="9">
        <v>881511</v>
      </c>
      <c r="B47" s="2">
        <f>EXAMENES[[#This Row],[VALOR_UND]]*EXAMENES[[#This Row],[CANT_A_PAGAR]]</f>
        <v>52400</v>
      </c>
      <c r="C47" t="s">
        <v>597</v>
      </c>
      <c r="D47" t="s">
        <v>77</v>
      </c>
      <c r="E47" t="s">
        <v>773</v>
      </c>
      <c r="F47" t="s">
        <v>773</v>
      </c>
      <c r="G47" s="2">
        <v>52400</v>
      </c>
      <c r="H47" t="s">
        <v>782</v>
      </c>
      <c r="I47">
        <v>1</v>
      </c>
      <c r="J47" s="2">
        <v>52400</v>
      </c>
      <c r="K47">
        <v>61251004</v>
      </c>
      <c r="L47" t="s">
        <v>842</v>
      </c>
    </row>
    <row r="48" spans="1:12" x14ac:dyDescent="0.35">
      <c r="A48" s="9">
        <v>882101</v>
      </c>
      <c r="B48" s="2">
        <f>EXAMENES[[#This Row],[VALOR_UND]]*EXAMENES[[#This Row],[CANT_A_PAGAR]]</f>
        <v>52400</v>
      </c>
      <c r="C48" t="s">
        <v>624</v>
      </c>
      <c r="D48" t="s">
        <v>77</v>
      </c>
      <c r="E48" t="s">
        <v>773</v>
      </c>
      <c r="F48" t="s">
        <v>773</v>
      </c>
      <c r="G48" s="2">
        <v>52400</v>
      </c>
      <c r="H48" t="s">
        <v>782</v>
      </c>
      <c r="I48">
        <v>1</v>
      </c>
      <c r="J48" s="2">
        <v>52400</v>
      </c>
      <c r="K48">
        <v>61251004</v>
      </c>
      <c r="L48" t="s">
        <v>842</v>
      </c>
    </row>
    <row r="49" spans="1:12" x14ac:dyDescent="0.35">
      <c r="A49" s="9">
        <v>882102</v>
      </c>
      <c r="B49" s="2">
        <f>EXAMENES[[#This Row],[VALOR_UND]]*EXAMENES[[#This Row],[CANT_A_PAGAR]]</f>
        <v>52400</v>
      </c>
      <c r="C49" t="s">
        <v>626</v>
      </c>
      <c r="D49" t="s">
        <v>77</v>
      </c>
      <c r="E49" t="s">
        <v>773</v>
      </c>
      <c r="F49" t="s">
        <v>773</v>
      </c>
      <c r="G49" s="2">
        <v>52400</v>
      </c>
      <c r="H49" t="s">
        <v>782</v>
      </c>
      <c r="I49">
        <v>1</v>
      </c>
      <c r="J49" s="2">
        <v>52400</v>
      </c>
      <c r="K49">
        <v>61251004</v>
      </c>
      <c r="L49" t="s">
        <v>842</v>
      </c>
    </row>
    <row r="50" spans="1:12" x14ac:dyDescent="0.35">
      <c r="A50" s="9">
        <v>882103</v>
      </c>
      <c r="B50" s="2">
        <f>EXAMENES[[#This Row],[VALOR_UND]]*EXAMENES[[#This Row],[CANT_A_PAGAR]]</f>
        <v>52400</v>
      </c>
      <c r="C50" t="s">
        <v>628</v>
      </c>
      <c r="D50" t="s">
        <v>77</v>
      </c>
      <c r="E50" t="s">
        <v>773</v>
      </c>
      <c r="F50" t="s">
        <v>773</v>
      </c>
      <c r="G50" s="2">
        <v>52400</v>
      </c>
      <c r="H50" t="s">
        <v>782</v>
      </c>
      <c r="I50">
        <v>1</v>
      </c>
      <c r="J50" s="2">
        <v>52400</v>
      </c>
      <c r="K50">
        <v>61251004</v>
      </c>
      <c r="L50" t="s">
        <v>842</v>
      </c>
    </row>
    <row r="51" spans="1:12" x14ac:dyDescent="0.35">
      <c r="A51" s="9">
        <v>882106</v>
      </c>
      <c r="B51" s="2">
        <f>EXAMENES[[#This Row],[VALOR_UND]]*EXAMENES[[#This Row],[CANT_A_PAGAR]]</f>
        <v>52400</v>
      </c>
      <c r="C51" t="s">
        <v>630</v>
      </c>
      <c r="D51" t="s">
        <v>77</v>
      </c>
      <c r="E51" t="s">
        <v>773</v>
      </c>
      <c r="F51" t="s">
        <v>773</v>
      </c>
      <c r="G51" s="2">
        <v>52400</v>
      </c>
      <c r="H51" t="s">
        <v>782</v>
      </c>
      <c r="I51">
        <v>1</v>
      </c>
      <c r="J51" s="2">
        <v>52400</v>
      </c>
      <c r="K51">
        <v>61251004</v>
      </c>
      <c r="L51" t="s">
        <v>842</v>
      </c>
    </row>
    <row r="52" spans="1:12" x14ac:dyDescent="0.35">
      <c r="A52" s="9">
        <v>882110</v>
      </c>
      <c r="B52" s="2">
        <f>EXAMENES[[#This Row],[VALOR_UND]]*EXAMENES[[#This Row],[CANT_A_PAGAR]]</f>
        <v>52400</v>
      </c>
      <c r="C52" t="s">
        <v>632</v>
      </c>
      <c r="D52" t="s">
        <v>77</v>
      </c>
      <c r="E52" t="s">
        <v>773</v>
      </c>
      <c r="F52" t="s">
        <v>773</v>
      </c>
      <c r="G52" s="2">
        <v>52400</v>
      </c>
      <c r="H52" t="s">
        <v>782</v>
      </c>
      <c r="I52">
        <v>1</v>
      </c>
      <c r="J52" s="2">
        <v>52400</v>
      </c>
      <c r="K52">
        <v>61251004</v>
      </c>
      <c r="L52" t="s">
        <v>842</v>
      </c>
    </row>
    <row r="53" spans="1:12" x14ac:dyDescent="0.35">
      <c r="A53" s="9">
        <v>882111</v>
      </c>
      <c r="B53" s="2">
        <f>EXAMENES[[#This Row],[VALOR_UND]]*EXAMENES[[#This Row],[CANT_A_PAGAR]]</f>
        <v>52400</v>
      </c>
      <c r="C53" t="s">
        <v>634</v>
      </c>
      <c r="D53" t="s">
        <v>77</v>
      </c>
      <c r="E53" t="s">
        <v>773</v>
      </c>
      <c r="F53" t="s">
        <v>773</v>
      </c>
      <c r="G53" s="2">
        <v>52400</v>
      </c>
      <c r="H53" t="s">
        <v>782</v>
      </c>
      <c r="I53">
        <v>1</v>
      </c>
      <c r="J53" s="2">
        <v>52400</v>
      </c>
      <c r="K53">
        <v>61251004</v>
      </c>
      <c r="L53" t="s">
        <v>842</v>
      </c>
    </row>
    <row r="54" spans="1:12" x14ac:dyDescent="0.35">
      <c r="A54" s="9">
        <v>882112</v>
      </c>
      <c r="B54" s="2">
        <f>EXAMENES[[#This Row],[VALOR_UND]]*EXAMENES[[#This Row],[CANT_A_PAGAR]]</f>
        <v>52400</v>
      </c>
      <c r="C54" t="s">
        <v>636</v>
      </c>
      <c r="D54" t="s">
        <v>77</v>
      </c>
      <c r="E54" t="s">
        <v>773</v>
      </c>
      <c r="F54" t="s">
        <v>773</v>
      </c>
      <c r="G54" s="2">
        <v>52400</v>
      </c>
      <c r="H54" t="s">
        <v>782</v>
      </c>
      <c r="I54">
        <v>1</v>
      </c>
      <c r="J54" s="2">
        <v>52400</v>
      </c>
      <c r="K54">
        <v>61251004</v>
      </c>
      <c r="L54" t="s">
        <v>842</v>
      </c>
    </row>
    <row r="55" spans="1:12" x14ac:dyDescent="0.35">
      <c r="A55" s="9">
        <v>882130</v>
      </c>
      <c r="B55" s="2">
        <f>EXAMENES[[#This Row],[VALOR_UND]]*EXAMENES[[#This Row],[CANT_A_PAGAR]]</f>
        <v>52400</v>
      </c>
      <c r="C55" t="s">
        <v>638</v>
      </c>
      <c r="D55" t="s">
        <v>77</v>
      </c>
      <c r="E55" t="s">
        <v>773</v>
      </c>
      <c r="F55" t="s">
        <v>773</v>
      </c>
      <c r="G55" s="2">
        <v>52400</v>
      </c>
      <c r="H55" t="s">
        <v>782</v>
      </c>
      <c r="I55">
        <v>1</v>
      </c>
      <c r="J55" s="2">
        <v>52400</v>
      </c>
      <c r="K55">
        <v>61251004</v>
      </c>
      <c r="L55" t="s">
        <v>842</v>
      </c>
    </row>
    <row r="56" spans="1:12" x14ac:dyDescent="0.35">
      <c r="A56" s="9">
        <v>882131</v>
      </c>
      <c r="B56" s="2">
        <f>EXAMENES[[#This Row],[VALOR_UND]]*EXAMENES[[#This Row],[CANT_A_PAGAR]]</f>
        <v>52400</v>
      </c>
      <c r="C56" t="s">
        <v>640</v>
      </c>
      <c r="D56" t="s">
        <v>77</v>
      </c>
      <c r="E56" t="s">
        <v>773</v>
      </c>
      <c r="F56" t="s">
        <v>773</v>
      </c>
      <c r="G56" s="2">
        <v>52400</v>
      </c>
      <c r="H56" t="s">
        <v>782</v>
      </c>
      <c r="I56">
        <v>1</v>
      </c>
      <c r="J56" s="2">
        <v>52400</v>
      </c>
      <c r="K56">
        <v>61251004</v>
      </c>
      <c r="L56" t="s">
        <v>842</v>
      </c>
    </row>
    <row r="57" spans="1:12" x14ac:dyDescent="0.35">
      <c r="A57" s="9">
        <v>882132</v>
      </c>
      <c r="B57" s="2">
        <f>EXAMENES[[#This Row],[VALOR_UND]]*EXAMENES[[#This Row],[CANT_A_PAGAR]]</f>
        <v>52400</v>
      </c>
      <c r="C57" t="s">
        <v>642</v>
      </c>
      <c r="D57" t="s">
        <v>77</v>
      </c>
      <c r="E57" t="s">
        <v>773</v>
      </c>
      <c r="F57" t="s">
        <v>773</v>
      </c>
      <c r="G57" s="2">
        <v>52400</v>
      </c>
      <c r="H57" t="s">
        <v>782</v>
      </c>
      <c r="I57">
        <v>1</v>
      </c>
      <c r="J57" s="2">
        <v>52400</v>
      </c>
      <c r="K57">
        <v>61251004</v>
      </c>
      <c r="L57" t="s">
        <v>842</v>
      </c>
    </row>
    <row r="58" spans="1:12" x14ac:dyDescent="0.35">
      <c r="A58" s="9">
        <v>882201</v>
      </c>
      <c r="B58" s="2">
        <f>EXAMENES[[#This Row],[VALOR_UND]]*EXAMENES[[#This Row],[CANT_A_PAGAR]]</f>
        <v>52400</v>
      </c>
      <c r="C58" t="s">
        <v>644</v>
      </c>
      <c r="D58" t="s">
        <v>77</v>
      </c>
      <c r="E58" t="s">
        <v>773</v>
      </c>
      <c r="F58" t="s">
        <v>773</v>
      </c>
      <c r="G58" s="2">
        <v>52400</v>
      </c>
      <c r="H58" t="s">
        <v>782</v>
      </c>
      <c r="I58">
        <v>1</v>
      </c>
      <c r="J58" s="2">
        <v>52400</v>
      </c>
      <c r="K58">
        <v>61251004</v>
      </c>
      <c r="L58" t="s">
        <v>842</v>
      </c>
    </row>
    <row r="59" spans="1:12" x14ac:dyDescent="0.35">
      <c r="A59" s="9">
        <v>882202</v>
      </c>
      <c r="B59" s="2">
        <f>EXAMENES[[#This Row],[VALOR_UND]]*EXAMENES[[#This Row],[CANT_A_PAGAR]]</f>
        <v>52400</v>
      </c>
      <c r="C59" t="s">
        <v>646</v>
      </c>
      <c r="D59" t="s">
        <v>77</v>
      </c>
      <c r="E59" t="s">
        <v>773</v>
      </c>
      <c r="F59" t="s">
        <v>773</v>
      </c>
      <c r="G59" s="2">
        <v>52400</v>
      </c>
      <c r="H59" t="s">
        <v>782</v>
      </c>
      <c r="I59">
        <v>1</v>
      </c>
      <c r="J59" s="2">
        <v>52400</v>
      </c>
      <c r="K59">
        <v>61251004</v>
      </c>
      <c r="L59" t="s">
        <v>842</v>
      </c>
    </row>
    <row r="60" spans="1:12" x14ac:dyDescent="0.35">
      <c r="A60" s="9">
        <v>882203</v>
      </c>
      <c r="B60" s="2">
        <f>EXAMENES[[#This Row],[VALOR_UND]]*EXAMENES[[#This Row],[CANT_A_PAGAR]]</f>
        <v>52400</v>
      </c>
      <c r="C60" t="s">
        <v>648</v>
      </c>
      <c r="D60" t="s">
        <v>77</v>
      </c>
      <c r="E60" t="s">
        <v>773</v>
      </c>
      <c r="F60" t="s">
        <v>773</v>
      </c>
      <c r="G60" s="2">
        <v>52400</v>
      </c>
      <c r="H60" t="s">
        <v>782</v>
      </c>
      <c r="I60">
        <v>1</v>
      </c>
      <c r="J60" s="2">
        <v>52400</v>
      </c>
      <c r="K60">
        <v>61251004</v>
      </c>
      <c r="L60" t="s">
        <v>842</v>
      </c>
    </row>
    <row r="61" spans="1:12" x14ac:dyDescent="0.35">
      <c r="A61" s="9">
        <v>882210</v>
      </c>
      <c r="B61" s="2">
        <f>EXAMENES[[#This Row],[VALOR_UND]]*EXAMENES[[#This Row],[CANT_A_PAGAR]]</f>
        <v>52400</v>
      </c>
      <c r="C61" t="s">
        <v>650</v>
      </c>
      <c r="D61" t="s">
        <v>77</v>
      </c>
      <c r="E61" t="s">
        <v>773</v>
      </c>
      <c r="F61" t="s">
        <v>773</v>
      </c>
      <c r="G61" s="2">
        <v>52400</v>
      </c>
      <c r="H61" t="s">
        <v>782</v>
      </c>
      <c r="I61">
        <v>1</v>
      </c>
      <c r="J61" s="2">
        <v>52400</v>
      </c>
      <c r="K61">
        <v>61251004</v>
      </c>
      <c r="L61" t="s">
        <v>842</v>
      </c>
    </row>
    <row r="62" spans="1:12" x14ac:dyDescent="0.35">
      <c r="A62" s="9">
        <v>882211</v>
      </c>
      <c r="B62" s="2">
        <f>EXAMENES[[#This Row],[VALOR_UND]]*EXAMENES[[#This Row],[CANT_A_PAGAR]]</f>
        <v>52400</v>
      </c>
      <c r="C62" t="s">
        <v>652</v>
      </c>
      <c r="D62" t="s">
        <v>77</v>
      </c>
      <c r="E62" t="s">
        <v>773</v>
      </c>
      <c r="F62" t="s">
        <v>773</v>
      </c>
      <c r="G62" s="2">
        <v>52400</v>
      </c>
      <c r="H62" t="s">
        <v>782</v>
      </c>
      <c r="I62">
        <v>1</v>
      </c>
      <c r="J62" s="2">
        <v>52400</v>
      </c>
      <c r="K62">
        <v>61251004</v>
      </c>
      <c r="L62" t="s">
        <v>842</v>
      </c>
    </row>
    <row r="63" spans="1:12" x14ac:dyDescent="0.35">
      <c r="A63" s="9">
        <v>882212</v>
      </c>
      <c r="B63" s="2">
        <f>EXAMENES[[#This Row],[VALOR_UND]]*EXAMENES[[#This Row],[CANT_A_PAGAR]]</f>
        <v>52400</v>
      </c>
      <c r="C63" t="s">
        <v>654</v>
      </c>
      <c r="D63" t="s">
        <v>77</v>
      </c>
      <c r="E63" t="s">
        <v>773</v>
      </c>
      <c r="F63" t="s">
        <v>773</v>
      </c>
      <c r="G63" s="2">
        <v>52400</v>
      </c>
      <c r="H63" t="s">
        <v>782</v>
      </c>
      <c r="I63">
        <v>1</v>
      </c>
      <c r="J63" s="2">
        <v>52400</v>
      </c>
      <c r="K63">
        <v>61251004</v>
      </c>
      <c r="L63" t="s">
        <v>842</v>
      </c>
    </row>
    <row r="64" spans="1:12" x14ac:dyDescent="0.35">
      <c r="A64" s="9">
        <v>882220</v>
      </c>
      <c r="B64" s="2">
        <f>EXAMENES[[#This Row],[VALOR_UND]]*EXAMENES[[#This Row],[CANT_A_PAGAR]]</f>
        <v>52400</v>
      </c>
      <c r="C64" t="s">
        <v>656</v>
      </c>
      <c r="D64" t="s">
        <v>77</v>
      </c>
      <c r="E64" t="s">
        <v>773</v>
      </c>
      <c r="F64" t="s">
        <v>773</v>
      </c>
      <c r="G64" s="2">
        <v>52400</v>
      </c>
      <c r="H64" t="s">
        <v>782</v>
      </c>
      <c r="I64">
        <v>1</v>
      </c>
      <c r="J64" s="2">
        <v>52400</v>
      </c>
      <c r="K64">
        <v>61251004</v>
      </c>
      <c r="L64" t="s">
        <v>842</v>
      </c>
    </row>
    <row r="65" spans="1:12" x14ac:dyDescent="0.35">
      <c r="A65" s="9">
        <v>882221</v>
      </c>
      <c r="B65" s="2">
        <f>EXAMENES[[#This Row],[VALOR_UND]]*EXAMENES[[#This Row],[CANT_A_PAGAR]]</f>
        <v>52400</v>
      </c>
      <c r="C65" t="s">
        <v>658</v>
      </c>
      <c r="D65" t="s">
        <v>77</v>
      </c>
      <c r="E65" t="s">
        <v>773</v>
      </c>
      <c r="F65" t="s">
        <v>773</v>
      </c>
      <c r="G65" s="2">
        <v>52400</v>
      </c>
      <c r="H65" t="s">
        <v>782</v>
      </c>
      <c r="I65">
        <v>1</v>
      </c>
      <c r="J65" s="2">
        <v>52400</v>
      </c>
      <c r="K65">
        <v>61251004</v>
      </c>
      <c r="L65" t="s">
        <v>842</v>
      </c>
    </row>
    <row r="66" spans="1:12" x14ac:dyDescent="0.35">
      <c r="A66" s="9">
        <v>882222</v>
      </c>
      <c r="B66" s="2">
        <f>EXAMENES[[#This Row],[VALOR_UND]]*EXAMENES[[#This Row],[CANT_A_PAGAR]]</f>
        <v>52400</v>
      </c>
      <c r="C66" t="s">
        <v>660</v>
      </c>
      <c r="D66" t="s">
        <v>77</v>
      </c>
      <c r="E66" t="s">
        <v>773</v>
      </c>
      <c r="F66" t="s">
        <v>773</v>
      </c>
      <c r="G66" s="2">
        <v>52400</v>
      </c>
      <c r="H66" t="s">
        <v>782</v>
      </c>
      <c r="I66">
        <v>1</v>
      </c>
      <c r="J66" s="2">
        <v>52400</v>
      </c>
      <c r="K66">
        <v>61251004</v>
      </c>
      <c r="L66" t="s">
        <v>842</v>
      </c>
    </row>
    <row r="67" spans="1:12" x14ac:dyDescent="0.35">
      <c r="A67" s="9">
        <v>882232</v>
      </c>
      <c r="B67" s="2">
        <f>EXAMENES[[#This Row],[VALOR_UND]]*EXAMENES[[#This Row],[CANT_A_PAGAR]]</f>
        <v>52400</v>
      </c>
      <c r="C67" t="s">
        <v>662</v>
      </c>
      <c r="D67" t="s">
        <v>77</v>
      </c>
      <c r="E67" t="s">
        <v>773</v>
      </c>
      <c r="F67" t="s">
        <v>773</v>
      </c>
      <c r="G67" s="2">
        <v>52400</v>
      </c>
      <c r="H67" t="s">
        <v>782</v>
      </c>
      <c r="I67">
        <v>1</v>
      </c>
      <c r="J67" s="2">
        <v>52400</v>
      </c>
      <c r="K67">
        <v>61251004</v>
      </c>
      <c r="L67" t="s">
        <v>842</v>
      </c>
    </row>
    <row r="68" spans="1:12" x14ac:dyDescent="0.35">
      <c r="A68" s="9">
        <v>882250</v>
      </c>
      <c r="B68" s="2">
        <f>EXAMENES[[#This Row],[VALOR_UND]]*EXAMENES[[#This Row],[CANT_A_PAGAR]]</f>
        <v>52400</v>
      </c>
      <c r="C68" t="s">
        <v>664</v>
      </c>
      <c r="D68" t="s">
        <v>77</v>
      </c>
      <c r="E68" t="s">
        <v>773</v>
      </c>
      <c r="F68" t="s">
        <v>773</v>
      </c>
      <c r="G68" s="2">
        <v>52400</v>
      </c>
      <c r="H68" t="s">
        <v>782</v>
      </c>
      <c r="I68">
        <v>1</v>
      </c>
      <c r="J68" s="2">
        <v>52400</v>
      </c>
      <c r="K68">
        <v>61251004</v>
      </c>
      <c r="L68" t="s">
        <v>842</v>
      </c>
    </row>
    <row r="69" spans="1:12" x14ac:dyDescent="0.35">
      <c r="A69" s="9">
        <v>882251</v>
      </c>
      <c r="B69" s="2">
        <f>EXAMENES[[#This Row],[VALOR_UND]]*EXAMENES[[#This Row],[CANT_A_PAGAR]]</f>
        <v>52400</v>
      </c>
      <c r="C69" t="s">
        <v>666</v>
      </c>
      <c r="D69" t="s">
        <v>77</v>
      </c>
      <c r="E69" t="s">
        <v>773</v>
      </c>
      <c r="F69" t="s">
        <v>773</v>
      </c>
      <c r="G69" s="2">
        <v>52400</v>
      </c>
      <c r="H69" t="s">
        <v>782</v>
      </c>
      <c r="I69">
        <v>1</v>
      </c>
      <c r="J69" s="2">
        <v>52400</v>
      </c>
      <c r="K69">
        <v>61251004</v>
      </c>
      <c r="L69" t="s">
        <v>842</v>
      </c>
    </row>
    <row r="70" spans="1:12" x14ac:dyDescent="0.35">
      <c r="A70" s="9">
        <v>882252</v>
      </c>
      <c r="B70" s="2">
        <f>EXAMENES[[#This Row],[VALOR_UND]]*EXAMENES[[#This Row],[CANT_A_PAGAR]]</f>
        <v>52400</v>
      </c>
      <c r="C70" t="s">
        <v>668</v>
      </c>
      <c r="D70" t="s">
        <v>77</v>
      </c>
      <c r="E70" t="s">
        <v>773</v>
      </c>
      <c r="F70" t="s">
        <v>773</v>
      </c>
      <c r="G70" s="2">
        <v>52400</v>
      </c>
      <c r="H70" t="s">
        <v>782</v>
      </c>
      <c r="I70">
        <v>1</v>
      </c>
      <c r="J70" s="2">
        <v>52400</v>
      </c>
      <c r="K70">
        <v>61251004</v>
      </c>
      <c r="L70" t="s">
        <v>842</v>
      </c>
    </row>
    <row r="71" spans="1:12" x14ac:dyDescent="0.35">
      <c r="A71" s="9">
        <v>882271</v>
      </c>
      <c r="B71" s="2">
        <f>EXAMENES[[#This Row],[VALOR_UND]]*EXAMENES[[#This Row],[CANT_A_PAGAR]]</f>
        <v>52400</v>
      </c>
      <c r="C71" t="s">
        <v>670</v>
      </c>
      <c r="D71" t="s">
        <v>77</v>
      </c>
      <c r="E71" t="s">
        <v>773</v>
      </c>
      <c r="F71" t="s">
        <v>773</v>
      </c>
      <c r="G71" s="2">
        <v>52400</v>
      </c>
      <c r="H71" t="s">
        <v>782</v>
      </c>
      <c r="I71">
        <v>1</v>
      </c>
      <c r="J71" s="2">
        <v>52400</v>
      </c>
      <c r="K71">
        <v>61251004</v>
      </c>
      <c r="L71" t="s">
        <v>842</v>
      </c>
    </row>
    <row r="72" spans="1:12" x14ac:dyDescent="0.35">
      <c r="A72" s="9">
        <v>882272</v>
      </c>
      <c r="B72" s="2">
        <f>EXAMENES[[#This Row],[VALOR_UND]]*EXAMENES[[#This Row],[CANT_A_PAGAR]]</f>
        <v>52400</v>
      </c>
      <c r="C72" t="s">
        <v>672</v>
      </c>
      <c r="D72" t="s">
        <v>77</v>
      </c>
      <c r="E72" t="s">
        <v>773</v>
      </c>
      <c r="F72" t="s">
        <v>773</v>
      </c>
      <c r="G72" s="2">
        <v>52400</v>
      </c>
      <c r="H72" t="s">
        <v>782</v>
      </c>
      <c r="I72">
        <v>1</v>
      </c>
      <c r="J72" s="2">
        <v>52400</v>
      </c>
      <c r="K72">
        <v>61251004</v>
      </c>
      <c r="L72" t="s">
        <v>842</v>
      </c>
    </row>
    <row r="73" spans="1:12" x14ac:dyDescent="0.35">
      <c r="A73" s="9">
        <v>882281</v>
      </c>
      <c r="B73" s="2">
        <f>EXAMENES[[#This Row],[VALOR_UND]]*EXAMENES[[#This Row],[CANT_A_PAGAR]]</f>
        <v>52400</v>
      </c>
      <c r="C73" t="s">
        <v>674</v>
      </c>
      <c r="D73" t="s">
        <v>77</v>
      </c>
      <c r="E73" t="s">
        <v>773</v>
      </c>
      <c r="F73" t="s">
        <v>773</v>
      </c>
      <c r="G73" s="2">
        <v>52400</v>
      </c>
      <c r="H73" t="s">
        <v>782</v>
      </c>
      <c r="I73">
        <v>1</v>
      </c>
      <c r="J73" s="2">
        <v>52400</v>
      </c>
      <c r="K73">
        <v>61251004</v>
      </c>
      <c r="L73" t="s">
        <v>842</v>
      </c>
    </row>
    <row r="74" spans="1:12" s="3" customFormat="1" x14ac:dyDescent="0.35">
      <c r="A74" s="9">
        <v>882282</v>
      </c>
      <c r="B74" s="2">
        <f>EXAMENES[[#This Row],[VALOR_UND]]*EXAMENES[[#This Row],[CANT_A_PAGAR]]</f>
        <v>52400</v>
      </c>
      <c r="C74" t="s">
        <v>676</v>
      </c>
      <c r="D74" t="s">
        <v>77</v>
      </c>
      <c r="E74" t="s">
        <v>773</v>
      </c>
      <c r="F74" t="s">
        <v>773</v>
      </c>
      <c r="G74" s="2">
        <v>52400</v>
      </c>
      <c r="H74" t="s">
        <v>782</v>
      </c>
      <c r="I74">
        <v>1</v>
      </c>
      <c r="J74" s="2">
        <v>52400</v>
      </c>
      <c r="K74">
        <v>61251004</v>
      </c>
      <c r="L74" t="s">
        <v>842</v>
      </c>
    </row>
    <row r="75" spans="1:12" x14ac:dyDescent="0.35">
      <c r="A75" s="9">
        <v>882290</v>
      </c>
      <c r="B75" s="2">
        <f>EXAMENES[[#This Row],[VALOR_UND]]*EXAMENES[[#This Row],[CANT_A_PAGAR]]</f>
        <v>52400</v>
      </c>
      <c r="C75" t="s">
        <v>678</v>
      </c>
      <c r="D75" t="s">
        <v>77</v>
      </c>
      <c r="E75" t="s">
        <v>773</v>
      </c>
      <c r="F75" t="s">
        <v>773</v>
      </c>
      <c r="G75" s="2">
        <v>52400</v>
      </c>
      <c r="H75" t="s">
        <v>782</v>
      </c>
      <c r="I75">
        <v>1</v>
      </c>
      <c r="J75" s="2">
        <v>52400</v>
      </c>
      <c r="K75">
        <v>61251004</v>
      </c>
      <c r="L75" t="s">
        <v>842</v>
      </c>
    </row>
    <row r="76" spans="1:12" x14ac:dyDescent="0.35">
      <c r="A76" s="9">
        <v>882291</v>
      </c>
      <c r="B76" s="2">
        <f>EXAMENES[[#This Row],[VALOR_UND]]*EXAMENES[[#This Row],[CANT_A_PAGAR]]</f>
        <v>52400</v>
      </c>
      <c r="C76" t="s">
        <v>680</v>
      </c>
      <c r="D76" t="s">
        <v>77</v>
      </c>
      <c r="E76" t="s">
        <v>773</v>
      </c>
      <c r="F76" t="s">
        <v>773</v>
      </c>
      <c r="G76" s="2">
        <v>52400</v>
      </c>
      <c r="H76" t="s">
        <v>782</v>
      </c>
      <c r="I76">
        <v>1</v>
      </c>
      <c r="J76" s="2">
        <v>52400</v>
      </c>
      <c r="K76">
        <v>61251004</v>
      </c>
      <c r="L76" t="s">
        <v>842</v>
      </c>
    </row>
    <row r="77" spans="1:12" x14ac:dyDescent="0.35">
      <c r="A77" s="9">
        <v>882292</v>
      </c>
      <c r="B77" s="2">
        <f>EXAMENES[[#This Row],[VALOR_UND]]*EXAMENES[[#This Row],[CANT_A_PAGAR]]</f>
        <v>52400</v>
      </c>
      <c r="C77" t="s">
        <v>682</v>
      </c>
      <c r="D77" t="s">
        <v>77</v>
      </c>
      <c r="E77" t="s">
        <v>773</v>
      </c>
      <c r="F77" t="s">
        <v>773</v>
      </c>
      <c r="G77" s="2">
        <v>52400</v>
      </c>
      <c r="H77" t="s">
        <v>782</v>
      </c>
      <c r="I77">
        <v>1</v>
      </c>
      <c r="J77" s="2">
        <v>52400</v>
      </c>
      <c r="K77">
        <v>61251004</v>
      </c>
      <c r="L77" t="s">
        <v>842</v>
      </c>
    </row>
    <row r="78" spans="1:12" x14ac:dyDescent="0.35">
      <c r="A78" s="9">
        <v>882293</v>
      </c>
      <c r="B78" s="2">
        <f>EXAMENES[[#This Row],[VALOR_UND]]*EXAMENES[[#This Row],[CANT_A_PAGAR]]</f>
        <v>52400</v>
      </c>
      <c r="C78" t="s">
        <v>684</v>
      </c>
      <c r="D78" t="s">
        <v>77</v>
      </c>
      <c r="E78" t="s">
        <v>773</v>
      </c>
      <c r="F78" t="s">
        <v>773</v>
      </c>
      <c r="G78" s="2">
        <v>52400</v>
      </c>
      <c r="H78" t="s">
        <v>782</v>
      </c>
      <c r="I78">
        <v>1</v>
      </c>
      <c r="J78" s="2">
        <v>52400</v>
      </c>
      <c r="K78">
        <v>61251004</v>
      </c>
      <c r="L78" t="s">
        <v>842</v>
      </c>
    </row>
    <row r="79" spans="1:12" x14ac:dyDescent="0.35">
      <c r="A79" s="9">
        <v>882294</v>
      </c>
      <c r="B79" s="2">
        <f>EXAMENES[[#This Row],[VALOR_UND]]*EXAMENES[[#This Row],[CANT_A_PAGAR]]</f>
        <v>52400</v>
      </c>
      <c r="C79" t="s">
        <v>686</v>
      </c>
      <c r="D79" t="s">
        <v>77</v>
      </c>
      <c r="E79" t="s">
        <v>773</v>
      </c>
      <c r="F79" t="s">
        <v>773</v>
      </c>
      <c r="G79" s="2">
        <v>52400</v>
      </c>
      <c r="H79" t="s">
        <v>782</v>
      </c>
      <c r="I79">
        <v>1</v>
      </c>
      <c r="J79" s="2">
        <v>52400</v>
      </c>
      <c r="K79">
        <v>61251004</v>
      </c>
      <c r="L79" t="s">
        <v>842</v>
      </c>
    </row>
    <row r="80" spans="1:12" x14ac:dyDescent="0.35">
      <c r="A80" s="9">
        <v>882295</v>
      </c>
      <c r="B80" s="2">
        <f>EXAMENES[[#This Row],[VALOR_UND]]*EXAMENES[[#This Row],[CANT_A_PAGAR]]</f>
        <v>52400</v>
      </c>
      <c r="C80" t="s">
        <v>688</v>
      </c>
      <c r="D80" t="s">
        <v>77</v>
      </c>
      <c r="E80" t="s">
        <v>773</v>
      </c>
      <c r="F80" t="s">
        <v>773</v>
      </c>
      <c r="G80" s="2">
        <v>52400</v>
      </c>
      <c r="H80" t="s">
        <v>782</v>
      </c>
      <c r="I80">
        <v>1</v>
      </c>
      <c r="J80" s="2">
        <v>52400</v>
      </c>
      <c r="K80">
        <v>61251004</v>
      </c>
      <c r="L80" t="s">
        <v>842</v>
      </c>
    </row>
    <row r="81" spans="1:12" x14ac:dyDescent="0.35">
      <c r="A81" s="9">
        <v>882296</v>
      </c>
      <c r="B81" s="2">
        <f>EXAMENES[[#This Row],[VALOR_UND]]*EXAMENES[[#This Row],[CANT_A_PAGAR]]</f>
        <v>52400</v>
      </c>
      <c r="C81" t="s">
        <v>690</v>
      </c>
      <c r="D81" t="s">
        <v>77</v>
      </c>
      <c r="E81" t="s">
        <v>773</v>
      </c>
      <c r="F81" t="s">
        <v>773</v>
      </c>
      <c r="G81" s="2">
        <v>52400</v>
      </c>
      <c r="H81" t="s">
        <v>782</v>
      </c>
      <c r="I81">
        <v>1</v>
      </c>
      <c r="J81" s="2">
        <v>52400</v>
      </c>
      <c r="K81">
        <v>61251004</v>
      </c>
      <c r="L81" t="s">
        <v>842</v>
      </c>
    </row>
    <row r="82" spans="1:12" x14ac:dyDescent="0.35">
      <c r="A82" s="9">
        <v>882307</v>
      </c>
      <c r="B82" s="2">
        <f>EXAMENES[[#This Row],[VALOR_UND]]*EXAMENES[[#This Row],[CANT_A_PAGAR]]</f>
        <v>52400</v>
      </c>
      <c r="C82" t="s">
        <v>694</v>
      </c>
      <c r="D82" t="s">
        <v>77</v>
      </c>
      <c r="E82" t="s">
        <v>773</v>
      </c>
      <c r="F82" t="s">
        <v>773</v>
      </c>
      <c r="G82" s="2">
        <v>52400</v>
      </c>
      <c r="H82" t="s">
        <v>782</v>
      </c>
      <c r="I82">
        <v>1</v>
      </c>
      <c r="J82" s="2">
        <v>52400</v>
      </c>
      <c r="K82">
        <v>61251004</v>
      </c>
      <c r="L82" t="s">
        <v>842</v>
      </c>
    </row>
    <row r="83" spans="1:12" x14ac:dyDescent="0.35">
      <c r="A83" s="9">
        <v>882308</v>
      </c>
      <c r="B83" s="2">
        <f>EXAMENES[[#This Row],[VALOR_UND]]*EXAMENES[[#This Row],[CANT_A_PAGAR]]</f>
        <v>52400</v>
      </c>
      <c r="C83" t="s">
        <v>696</v>
      </c>
      <c r="D83" t="s">
        <v>77</v>
      </c>
      <c r="E83" t="s">
        <v>773</v>
      </c>
      <c r="F83" t="s">
        <v>773</v>
      </c>
      <c r="G83" s="2">
        <v>52400</v>
      </c>
      <c r="H83" t="s">
        <v>782</v>
      </c>
      <c r="I83">
        <v>1</v>
      </c>
      <c r="J83" s="2">
        <v>52400</v>
      </c>
      <c r="K83">
        <v>61251004</v>
      </c>
      <c r="L83" t="s">
        <v>842</v>
      </c>
    </row>
    <row r="84" spans="1:12" x14ac:dyDescent="0.35">
      <c r="A84" s="9">
        <v>882309</v>
      </c>
      <c r="B84" s="2">
        <f>EXAMENES[[#This Row],[VALOR_UND]]*EXAMENES[[#This Row],[CANT_A_PAGAR]]</f>
        <v>52400</v>
      </c>
      <c r="C84" t="s">
        <v>698</v>
      </c>
      <c r="D84" t="s">
        <v>77</v>
      </c>
      <c r="E84" t="s">
        <v>773</v>
      </c>
      <c r="F84" t="s">
        <v>773</v>
      </c>
      <c r="G84" s="2">
        <v>52400</v>
      </c>
      <c r="H84" t="s">
        <v>782</v>
      </c>
      <c r="I84">
        <v>1</v>
      </c>
      <c r="J84" s="2">
        <v>52400</v>
      </c>
      <c r="K84">
        <v>61251004</v>
      </c>
      <c r="L84" t="s">
        <v>842</v>
      </c>
    </row>
    <row r="85" spans="1:12" x14ac:dyDescent="0.35">
      <c r="A85" s="9">
        <v>882310</v>
      </c>
      <c r="B85" s="2">
        <f>EXAMENES[[#This Row],[VALOR_UND]]*EXAMENES[[#This Row],[CANT_A_PAGAR]]</f>
        <v>52400</v>
      </c>
      <c r="C85" t="s">
        <v>700</v>
      </c>
      <c r="D85" t="s">
        <v>77</v>
      </c>
      <c r="E85" t="s">
        <v>773</v>
      </c>
      <c r="F85" t="s">
        <v>773</v>
      </c>
      <c r="G85" s="2">
        <v>52400</v>
      </c>
      <c r="H85" t="s">
        <v>782</v>
      </c>
      <c r="I85">
        <v>1</v>
      </c>
      <c r="J85" s="2">
        <v>52400</v>
      </c>
      <c r="K85">
        <v>61251004</v>
      </c>
      <c r="L85" t="s">
        <v>842</v>
      </c>
    </row>
    <row r="86" spans="1:12" x14ac:dyDescent="0.35">
      <c r="A86" s="9">
        <v>882311</v>
      </c>
      <c r="B86" s="2">
        <f>EXAMENES[[#This Row],[VALOR_UND]]*EXAMENES[[#This Row],[CANT_A_PAGAR]]</f>
        <v>52400</v>
      </c>
      <c r="C86" t="s">
        <v>702</v>
      </c>
      <c r="D86" t="s">
        <v>77</v>
      </c>
      <c r="E86" t="s">
        <v>773</v>
      </c>
      <c r="F86" t="s">
        <v>773</v>
      </c>
      <c r="G86" s="2">
        <v>52400</v>
      </c>
      <c r="H86" t="s">
        <v>782</v>
      </c>
      <c r="I86">
        <v>1</v>
      </c>
      <c r="J86" s="2">
        <v>52400</v>
      </c>
      <c r="K86">
        <v>61251004</v>
      </c>
      <c r="L86" t="s">
        <v>842</v>
      </c>
    </row>
    <row r="87" spans="1:12" x14ac:dyDescent="0.35">
      <c r="A87" s="9">
        <v>882312</v>
      </c>
      <c r="B87" s="2">
        <f>EXAMENES[[#This Row],[VALOR_UND]]*EXAMENES[[#This Row],[CANT_A_PAGAR]]</f>
        <v>52400</v>
      </c>
      <c r="C87" t="s">
        <v>704</v>
      </c>
      <c r="D87" t="s">
        <v>77</v>
      </c>
      <c r="E87" t="s">
        <v>773</v>
      </c>
      <c r="F87" t="s">
        <v>773</v>
      </c>
      <c r="G87" s="2">
        <v>52400</v>
      </c>
      <c r="H87" t="s">
        <v>782</v>
      </c>
      <c r="I87">
        <v>1</v>
      </c>
      <c r="J87" s="2">
        <v>52400</v>
      </c>
      <c r="K87">
        <v>61251004</v>
      </c>
      <c r="L87" t="s">
        <v>842</v>
      </c>
    </row>
    <row r="88" spans="1:12" x14ac:dyDescent="0.35">
      <c r="A88" s="9">
        <v>882313</v>
      </c>
      <c r="B88" s="2">
        <f>EXAMENES[[#This Row],[VALOR_UND]]*EXAMENES[[#This Row],[CANT_A_PAGAR]]</f>
        <v>52400</v>
      </c>
      <c r="C88" t="s">
        <v>706</v>
      </c>
      <c r="D88" t="s">
        <v>77</v>
      </c>
      <c r="E88" t="s">
        <v>773</v>
      </c>
      <c r="F88" t="s">
        <v>773</v>
      </c>
      <c r="G88" s="2">
        <v>52400</v>
      </c>
      <c r="H88" t="s">
        <v>782</v>
      </c>
      <c r="I88">
        <v>1</v>
      </c>
      <c r="J88" s="2">
        <v>52400</v>
      </c>
      <c r="K88">
        <v>61251004</v>
      </c>
      <c r="L88" t="s">
        <v>842</v>
      </c>
    </row>
    <row r="89" spans="1:12" x14ac:dyDescent="0.35">
      <c r="A89" s="9">
        <v>882314</v>
      </c>
      <c r="B89" s="2">
        <f>EXAMENES[[#This Row],[VALOR_UND]]*EXAMENES[[#This Row],[CANT_A_PAGAR]]</f>
        <v>52400</v>
      </c>
      <c r="C89" t="s">
        <v>708</v>
      </c>
      <c r="D89" t="s">
        <v>77</v>
      </c>
      <c r="E89" t="s">
        <v>773</v>
      </c>
      <c r="F89" t="s">
        <v>773</v>
      </c>
      <c r="G89" s="2">
        <v>52400</v>
      </c>
      <c r="H89" t="s">
        <v>782</v>
      </c>
      <c r="I89">
        <v>1</v>
      </c>
      <c r="J89" s="2">
        <v>52400</v>
      </c>
      <c r="K89">
        <v>61251004</v>
      </c>
      <c r="L89" t="s">
        <v>842</v>
      </c>
    </row>
    <row r="90" spans="1:12" x14ac:dyDescent="0.35">
      <c r="A90" s="9">
        <v>882315</v>
      </c>
      <c r="B90" s="2">
        <f>EXAMENES[[#This Row],[VALOR_UND]]*EXAMENES[[#This Row],[CANT_A_PAGAR]]</f>
        <v>52400</v>
      </c>
      <c r="C90" t="s">
        <v>710</v>
      </c>
      <c r="D90" t="s">
        <v>77</v>
      </c>
      <c r="E90" t="s">
        <v>773</v>
      </c>
      <c r="F90" t="s">
        <v>773</v>
      </c>
      <c r="G90" s="2">
        <v>52400</v>
      </c>
      <c r="H90" t="s">
        <v>782</v>
      </c>
      <c r="I90">
        <v>1</v>
      </c>
      <c r="J90" s="2">
        <v>52400</v>
      </c>
      <c r="K90">
        <v>61251004</v>
      </c>
      <c r="L90" t="s">
        <v>842</v>
      </c>
    </row>
    <row r="91" spans="1:12" x14ac:dyDescent="0.35">
      <c r="A91" s="9">
        <v>882316</v>
      </c>
      <c r="B91" s="2">
        <f>EXAMENES[[#This Row],[VALOR_UND]]*EXAMENES[[#This Row],[CANT_A_PAGAR]]</f>
        <v>52400</v>
      </c>
      <c r="C91" t="s">
        <v>712</v>
      </c>
      <c r="D91" t="s">
        <v>77</v>
      </c>
      <c r="E91" t="s">
        <v>773</v>
      </c>
      <c r="F91" t="s">
        <v>773</v>
      </c>
      <c r="G91" s="2">
        <v>52400</v>
      </c>
      <c r="H91" t="s">
        <v>782</v>
      </c>
      <c r="I91">
        <v>1</v>
      </c>
      <c r="J91" s="2">
        <v>52400</v>
      </c>
      <c r="K91">
        <v>61251004</v>
      </c>
      <c r="L91" t="s">
        <v>842</v>
      </c>
    </row>
    <row r="92" spans="1:12" x14ac:dyDescent="0.35">
      <c r="A92" s="9">
        <v>882317</v>
      </c>
      <c r="B92" s="2">
        <f>EXAMENES[[#This Row],[VALOR_UND]]*EXAMENES[[#This Row],[CANT_A_PAGAR]]</f>
        <v>52400</v>
      </c>
      <c r="C92" t="s">
        <v>714</v>
      </c>
      <c r="D92" t="s">
        <v>77</v>
      </c>
      <c r="E92" t="s">
        <v>773</v>
      </c>
      <c r="F92" t="s">
        <v>773</v>
      </c>
      <c r="G92" s="2">
        <v>52400</v>
      </c>
      <c r="H92" t="s">
        <v>782</v>
      </c>
      <c r="I92">
        <v>1</v>
      </c>
      <c r="J92" s="2">
        <v>52400</v>
      </c>
      <c r="K92">
        <v>61251004</v>
      </c>
      <c r="L92" t="s">
        <v>842</v>
      </c>
    </row>
    <row r="93" spans="1:12" x14ac:dyDescent="0.35">
      <c r="A93" s="9">
        <v>882318</v>
      </c>
      <c r="B93" s="2">
        <f>EXAMENES[[#This Row],[VALOR_UND]]*EXAMENES[[#This Row],[CANT_A_PAGAR]]</f>
        <v>52400</v>
      </c>
      <c r="C93" t="s">
        <v>716</v>
      </c>
      <c r="D93" t="s">
        <v>77</v>
      </c>
      <c r="E93" t="s">
        <v>773</v>
      </c>
      <c r="F93" t="s">
        <v>773</v>
      </c>
      <c r="G93" s="2">
        <v>52400</v>
      </c>
      <c r="H93" t="s">
        <v>782</v>
      </c>
      <c r="I93">
        <v>1</v>
      </c>
      <c r="J93" s="2">
        <v>52400</v>
      </c>
      <c r="K93">
        <v>61251004</v>
      </c>
      <c r="L93" t="s">
        <v>842</v>
      </c>
    </row>
    <row r="94" spans="1:12" x14ac:dyDescent="0.35">
      <c r="A94" s="9">
        <v>882330</v>
      </c>
      <c r="B94" s="2">
        <f>EXAMENES[[#This Row],[VALOR_UND]]*EXAMENES[[#This Row],[CANT_A_PAGAR]]</f>
        <v>52400</v>
      </c>
      <c r="C94" t="s">
        <v>718</v>
      </c>
      <c r="D94" t="s">
        <v>77</v>
      </c>
      <c r="E94" t="s">
        <v>773</v>
      </c>
      <c r="F94" t="s">
        <v>773</v>
      </c>
      <c r="G94" s="2">
        <v>52400</v>
      </c>
      <c r="H94" t="s">
        <v>782</v>
      </c>
      <c r="I94">
        <v>1</v>
      </c>
      <c r="J94" s="2">
        <v>52400</v>
      </c>
      <c r="K94">
        <v>61251004</v>
      </c>
      <c r="L94" t="s">
        <v>842</v>
      </c>
    </row>
    <row r="95" spans="1:12" x14ac:dyDescent="0.35">
      <c r="A95" s="9">
        <v>882331</v>
      </c>
      <c r="B95" s="2">
        <f>EXAMENES[[#This Row],[VALOR_UND]]*EXAMENES[[#This Row],[CANT_A_PAGAR]]</f>
        <v>52400</v>
      </c>
      <c r="C95" t="s">
        <v>720</v>
      </c>
      <c r="D95" t="s">
        <v>77</v>
      </c>
      <c r="E95" t="s">
        <v>773</v>
      </c>
      <c r="F95" t="s">
        <v>773</v>
      </c>
      <c r="G95" s="2">
        <v>52400</v>
      </c>
      <c r="H95" t="s">
        <v>782</v>
      </c>
      <c r="I95">
        <v>1</v>
      </c>
      <c r="J95" s="2">
        <v>52400</v>
      </c>
      <c r="K95">
        <v>61251004</v>
      </c>
      <c r="L95" t="s">
        <v>842</v>
      </c>
    </row>
    <row r="96" spans="1:12" x14ac:dyDescent="0.35">
      <c r="A96" s="9">
        <v>882332</v>
      </c>
      <c r="B96" s="2">
        <f>EXAMENES[[#This Row],[VALOR_UND]]*EXAMENES[[#This Row],[CANT_A_PAGAR]]</f>
        <v>52400</v>
      </c>
      <c r="C96" t="s">
        <v>722</v>
      </c>
      <c r="D96" t="s">
        <v>77</v>
      </c>
      <c r="E96" t="s">
        <v>773</v>
      </c>
      <c r="F96" t="s">
        <v>773</v>
      </c>
      <c r="G96" s="2">
        <v>52400</v>
      </c>
      <c r="H96" t="s">
        <v>782</v>
      </c>
      <c r="I96">
        <v>1</v>
      </c>
      <c r="J96" s="2">
        <v>52400</v>
      </c>
      <c r="K96">
        <v>61251004</v>
      </c>
      <c r="L96" t="s">
        <v>842</v>
      </c>
    </row>
    <row r="97" spans="1:12" x14ac:dyDescent="0.35">
      <c r="A97" s="9">
        <v>882333</v>
      </c>
      <c r="B97" s="2">
        <f>EXAMENES[[#This Row],[VALOR_UND]]*EXAMENES[[#This Row],[CANT_A_PAGAR]]</f>
        <v>52400</v>
      </c>
      <c r="C97" t="s">
        <v>724</v>
      </c>
      <c r="D97" t="s">
        <v>77</v>
      </c>
      <c r="E97" t="s">
        <v>773</v>
      </c>
      <c r="F97" t="s">
        <v>773</v>
      </c>
      <c r="G97" s="2">
        <v>52400</v>
      </c>
      <c r="H97" t="s">
        <v>782</v>
      </c>
      <c r="I97">
        <v>1</v>
      </c>
      <c r="J97" s="2">
        <v>52400</v>
      </c>
      <c r="K97">
        <v>61251004</v>
      </c>
      <c r="L97" t="s">
        <v>842</v>
      </c>
    </row>
    <row r="98" spans="1:12" x14ac:dyDescent="0.35">
      <c r="A98" s="9">
        <v>882334</v>
      </c>
      <c r="B98" s="2">
        <f>EXAMENES[[#This Row],[VALOR_UND]]*EXAMENES[[#This Row],[CANT_A_PAGAR]]</f>
        <v>52400</v>
      </c>
      <c r="C98" t="s">
        <v>726</v>
      </c>
      <c r="D98" t="s">
        <v>77</v>
      </c>
      <c r="E98" t="s">
        <v>773</v>
      </c>
      <c r="F98" t="s">
        <v>773</v>
      </c>
      <c r="G98" s="2">
        <v>52400</v>
      </c>
      <c r="H98" t="s">
        <v>782</v>
      </c>
      <c r="I98">
        <v>1</v>
      </c>
      <c r="J98" s="2">
        <v>52400</v>
      </c>
      <c r="K98">
        <v>61251004</v>
      </c>
      <c r="L98" t="s">
        <v>842</v>
      </c>
    </row>
    <row r="99" spans="1:12" x14ac:dyDescent="0.35">
      <c r="A99" s="9">
        <v>882335</v>
      </c>
      <c r="B99" s="2">
        <f>EXAMENES[[#This Row],[VALOR_UND]]*EXAMENES[[#This Row],[CANT_A_PAGAR]]</f>
        <v>52400</v>
      </c>
      <c r="C99" t="s">
        <v>728</v>
      </c>
      <c r="D99" t="s">
        <v>77</v>
      </c>
      <c r="E99" t="s">
        <v>773</v>
      </c>
      <c r="F99" t="s">
        <v>773</v>
      </c>
      <c r="G99" s="2">
        <v>52400</v>
      </c>
      <c r="H99" t="s">
        <v>782</v>
      </c>
      <c r="I99">
        <v>1</v>
      </c>
      <c r="J99" s="2">
        <v>52400</v>
      </c>
      <c r="K99">
        <v>61251004</v>
      </c>
      <c r="L99" t="s">
        <v>842</v>
      </c>
    </row>
    <row r="100" spans="1:12" x14ac:dyDescent="0.35">
      <c r="A100" s="9">
        <v>882600</v>
      </c>
      <c r="B100" s="2">
        <f>EXAMENES[[#This Row],[VALOR_UND]]*EXAMENES[[#This Row],[CANT_A_PAGAR]]</f>
        <v>52400</v>
      </c>
      <c r="C100" t="s">
        <v>730</v>
      </c>
      <c r="D100" t="s">
        <v>77</v>
      </c>
      <c r="E100" t="s">
        <v>773</v>
      </c>
      <c r="F100" t="s">
        <v>773</v>
      </c>
      <c r="G100" s="2">
        <v>52400</v>
      </c>
      <c r="H100" t="s">
        <v>782</v>
      </c>
      <c r="I100">
        <v>1</v>
      </c>
      <c r="J100" s="2">
        <v>52400</v>
      </c>
      <c r="K100">
        <v>61251004</v>
      </c>
      <c r="L100" t="s">
        <v>842</v>
      </c>
    </row>
    <row r="101" spans="1:12" x14ac:dyDescent="0.35">
      <c r="A101" s="9">
        <v>882601</v>
      </c>
      <c r="B101" s="2">
        <f>EXAMENES[[#This Row],[VALOR_UND]]*EXAMENES[[#This Row],[CANT_A_PAGAR]]</f>
        <v>52400</v>
      </c>
      <c r="C101" t="s">
        <v>732</v>
      </c>
      <c r="D101" t="s">
        <v>77</v>
      </c>
      <c r="E101" t="s">
        <v>773</v>
      </c>
      <c r="F101" t="s">
        <v>773</v>
      </c>
      <c r="G101" s="2">
        <v>52400</v>
      </c>
      <c r="H101" t="s">
        <v>782</v>
      </c>
      <c r="I101">
        <v>1</v>
      </c>
      <c r="J101" s="2">
        <v>52400</v>
      </c>
      <c r="K101">
        <v>61251004</v>
      </c>
      <c r="L101" t="s">
        <v>842</v>
      </c>
    </row>
    <row r="102" spans="1:12" x14ac:dyDescent="0.35">
      <c r="A102" s="9">
        <v>882602</v>
      </c>
      <c r="B102" s="2">
        <f>EXAMENES[[#This Row],[VALOR_UND]]*EXAMENES[[#This Row],[CANT_A_PAGAR]]</f>
        <v>52400</v>
      </c>
      <c r="C102" t="s">
        <v>734</v>
      </c>
      <c r="D102" t="s">
        <v>77</v>
      </c>
      <c r="E102" t="s">
        <v>773</v>
      </c>
      <c r="F102" t="s">
        <v>773</v>
      </c>
      <c r="G102" s="2">
        <v>52400</v>
      </c>
      <c r="H102" t="s">
        <v>782</v>
      </c>
      <c r="I102">
        <v>1</v>
      </c>
      <c r="J102" s="2">
        <v>52400</v>
      </c>
      <c r="K102">
        <v>61251004</v>
      </c>
      <c r="L102" t="s">
        <v>842</v>
      </c>
    </row>
    <row r="103" spans="1:12" x14ac:dyDescent="0.35">
      <c r="A103" s="9">
        <v>882603</v>
      </c>
      <c r="B103" s="2">
        <f>EXAMENES[[#This Row],[VALOR_UND]]*EXAMENES[[#This Row],[CANT_A_PAGAR]]</f>
        <v>52400</v>
      </c>
      <c r="C103" t="s">
        <v>736</v>
      </c>
      <c r="D103" t="s">
        <v>77</v>
      </c>
      <c r="E103" t="s">
        <v>773</v>
      </c>
      <c r="F103" t="s">
        <v>773</v>
      </c>
      <c r="G103" s="2">
        <v>52400</v>
      </c>
      <c r="H103" t="s">
        <v>782</v>
      </c>
      <c r="I103">
        <v>1</v>
      </c>
      <c r="J103" s="2">
        <v>52400</v>
      </c>
      <c r="K103">
        <v>61251004</v>
      </c>
      <c r="L103" t="s">
        <v>842</v>
      </c>
    </row>
    <row r="104" spans="1:12" x14ac:dyDescent="0.35">
      <c r="A104" s="9">
        <v>882610</v>
      </c>
      <c r="B104" s="2">
        <f>EXAMENES[[#This Row],[VALOR_UND]]*EXAMENES[[#This Row],[CANT_A_PAGAR]]</f>
        <v>52400</v>
      </c>
      <c r="C104" t="s">
        <v>738</v>
      </c>
      <c r="D104" t="s">
        <v>77</v>
      </c>
      <c r="E104" t="s">
        <v>773</v>
      </c>
      <c r="F104" t="s">
        <v>773</v>
      </c>
      <c r="G104" s="2">
        <v>52400</v>
      </c>
      <c r="H104" t="s">
        <v>782</v>
      </c>
      <c r="I104">
        <v>1</v>
      </c>
      <c r="J104" s="2">
        <v>52400</v>
      </c>
      <c r="K104">
        <v>61251004</v>
      </c>
      <c r="L104" t="s">
        <v>842</v>
      </c>
    </row>
    <row r="105" spans="1:12" x14ac:dyDescent="0.35">
      <c r="A105" s="9">
        <v>882611</v>
      </c>
      <c r="B105" s="2">
        <f>EXAMENES[[#This Row],[VALOR_UND]]*EXAMENES[[#This Row],[CANT_A_PAGAR]]</f>
        <v>52400</v>
      </c>
      <c r="C105" t="s">
        <v>740</v>
      </c>
      <c r="D105" t="s">
        <v>77</v>
      </c>
      <c r="E105" t="s">
        <v>773</v>
      </c>
      <c r="F105" t="s">
        <v>773</v>
      </c>
      <c r="G105" s="2">
        <v>52400</v>
      </c>
      <c r="H105" t="s">
        <v>782</v>
      </c>
      <c r="I105">
        <v>1</v>
      </c>
      <c r="J105" s="2">
        <v>52400</v>
      </c>
      <c r="K105">
        <v>61251004</v>
      </c>
      <c r="L105" t="s">
        <v>842</v>
      </c>
    </row>
    <row r="106" spans="1:12" x14ac:dyDescent="0.35">
      <c r="A106" s="9">
        <v>882801</v>
      </c>
      <c r="B106" s="2">
        <f>EXAMENES[[#This Row],[VALOR_UND]]*EXAMENES[[#This Row],[CANT_A_PAGAR]]</f>
        <v>52400</v>
      </c>
      <c r="C106" t="s">
        <v>742</v>
      </c>
      <c r="D106" t="s">
        <v>77</v>
      </c>
      <c r="E106" t="s">
        <v>773</v>
      </c>
      <c r="F106" t="s">
        <v>773</v>
      </c>
      <c r="G106" s="2">
        <v>52400</v>
      </c>
      <c r="H106" t="s">
        <v>782</v>
      </c>
      <c r="I106">
        <v>1</v>
      </c>
      <c r="J106" s="2">
        <v>52400</v>
      </c>
      <c r="K106">
        <v>61251004</v>
      </c>
      <c r="L106" t="s">
        <v>842</v>
      </c>
    </row>
    <row r="107" spans="1:12" x14ac:dyDescent="0.35">
      <c r="A107" s="9">
        <v>892902</v>
      </c>
      <c r="B107" s="2">
        <f>EXAMENES[[#This Row],[VALOR_UND]]*EXAMENES[[#This Row],[CANT_A_PAGAR]]</f>
        <v>52400</v>
      </c>
      <c r="C107" t="s">
        <v>753</v>
      </c>
      <c r="D107" t="s">
        <v>77</v>
      </c>
      <c r="E107" t="s">
        <v>773</v>
      </c>
      <c r="F107" t="s">
        <v>773</v>
      </c>
      <c r="G107" s="2">
        <v>52400</v>
      </c>
      <c r="H107" t="s">
        <v>782</v>
      </c>
      <c r="I107">
        <v>1</v>
      </c>
      <c r="J107" s="2">
        <v>52400</v>
      </c>
      <c r="K107">
        <v>61251004</v>
      </c>
      <c r="L107" t="s">
        <v>842</v>
      </c>
    </row>
    <row r="108" spans="1:12" x14ac:dyDescent="0.35">
      <c r="A108" s="9">
        <v>892909</v>
      </c>
      <c r="B108" s="2">
        <f>EXAMENES[[#This Row],[VALOR_UND]]*EXAMENES[[#This Row],[CANT_A_PAGAR]]</f>
        <v>52400</v>
      </c>
      <c r="C108" t="s">
        <v>755</v>
      </c>
      <c r="D108" t="s">
        <v>77</v>
      </c>
      <c r="E108" t="s">
        <v>773</v>
      </c>
      <c r="F108" t="s">
        <v>773</v>
      </c>
      <c r="G108" s="2">
        <v>52400</v>
      </c>
      <c r="H108" t="s">
        <v>782</v>
      </c>
      <c r="I108">
        <v>1</v>
      </c>
      <c r="J108" s="2">
        <v>52400</v>
      </c>
      <c r="K108">
        <v>61251004</v>
      </c>
      <c r="L108" t="s">
        <v>842</v>
      </c>
    </row>
    <row r="109" spans="1:12" x14ac:dyDescent="0.35">
      <c r="A109" s="9" t="s">
        <v>75</v>
      </c>
      <c r="B109" s="2">
        <f>EXAMENES[[#This Row],[VALOR_UND]]*EXAMENES[[#This Row],[CANT_A_PAGAR]]</f>
        <v>26200</v>
      </c>
      <c r="C109" t="s">
        <v>76</v>
      </c>
      <c r="D109" t="s">
        <v>5</v>
      </c>
      <c r="E109" t="s">
        <v>772</v>
      </c>
      <c r="F109" t="s">
        <v>777</v>
      </c>
      <c r="G109" s="2">
        <v>26200</v>
      </c>
      <c r="H109" t="s">
        <v>782</v>
      </c>
      <c r="I109">
        <v>1</v>
      </c>
      <c r="J109" s="2">
        <v>26200</v>
      </c>
      <c r="K109">
        <v>61251003</v>
      </c>
      <c r="L109" t="s">
        <v>841</v>
      </c>
    </row>
    <row r="110" spans="1:12" x14ac:dyDescent="0.35">
      <c r="A110" s="9" t="s">
        <v>78</v>
      </c>
      <c r="B110" s="2">
        <f>EXAMENES[[#This Row],[VALOR_UND]]*EXAMENES[[#This Row],[CANT_A_PAGAR]]</f>
        <v>26200</v>
      </c>
      <c r="C110" t="s">
        <v>79</v>
      </c>
      <c r="D110" t="s">
        <v>5</v>
      </c>
      <c r="E110" t="s">
        <v>772</v>
      </c>
      <c r="F110" t="s">
        <v>777</v>
      </c>
      <c r="G110" s="2">
        <v>26200</v>
      </c>
      <c r="H110" t="s">
        <v>782</v>
      </c>
      <c r="I110">
        <v>1</v>
      </c>
      <c r="J110" s="2">
        <v>26200</v>
      </c>
      <c r="K110">
        <v>61251003</v>
      </c>
      <c r="L110" t="s">
        <v>841</v>
      </c>
    </row>
    <row r="111" spans="1:12" x14ac:dyDescent="0.35">
      <c r="A111" s="9">
        <v>61100</v>
      </c>
      <c r="B111" s="2">
        <f>EXAMENES[[#This Row],[VALOR_UND]]*EXAMENES[[#This Row],[CANT_A_PAGAR]]</f>
        <v>87900</v>
      </c>
      <c r="C111" t="s">
        <v>224</v>
      </c>
      <c r="D111" t="s">
        <v>220</v>
      </c>
      <c r="E111" t="s">
        <v>775</v>
      </c>
      <c r="F111" t="s">
        <v>775</v>
      </c>
      <c r="G111" s="2">
        <v>87900</v>
      </c>
      <c r="H111" t="s">
        <v>782</v>
      </c>
      <c r="I111">
        <v>1</v>
      </c>
      <c r="J111" s="2">
        <v>87900</v>
      </c>
      <c r="K111">
        <v>61251005</v>
      </c>
      <c r="L111" t="s">
        <v>843</v>
      </c>
    </row>
    <row r="112" spans="1:12" x14ac:dyDescent="0.35">
      <c r="A112" s="9">
        <v>881131</v>
      </c>
      <c r="B112" s="2">
        <f>EXAMENES[[#This Row],[VALOR_UND]]*EXAMENES[[#This Row],[CANT_A_PAGAR]]</f>
        <v>26200</v>
      </c>
      <c r="C112" t="s">
        <v>525</v>
      </c>
      <c r="D112" t="s">
        <v>5</v>
      </c>
      <c r="E112" t="s">
        <v>772</v>
      </c>
      <c r="F112" t="s">
        <v>777</v>
      </c>
      <c r="G112" s="2">
        <v>26200</v>
      </c>
      <c r="H112" t="s">
        <v>782</v>
      </c>
      <c r="I112">
        <v>1</v>
      </c>
      <c r="J112" s="2">
        <v>26200</v>
      </c>
      <c r="K112">
        <v>61251003</v>
      </c>
      <c r="L112" t="s">
        <v>841</v>
      </c>
    </row>
    <row r="113" spans="1:12" x14ac:dyDescent="0.35">
      <c r="A113" s="9" t="s">
        <v>15</v>
      </c>
      <c r="B113" s="2">
        <f>EXAMENES[[#This Row],[VALOR_UND]]*EXAMENES[[#This Row],[CANT_A_PAGAR]]</f>
        <v>8200</v>
      </c>
      <c r="C113" t="s">
        <v>16</v>
      </c>
      <c r="D113" t="s">
        <v>2</v>
      </c>
      <c r="E113" t="s">
        <v>769</v>
      </c>
      <c r="F113" t="s">
        <v>769</v>
      </c>
      <c r="G113" s="2">
        <v>8200</v>
      </c>
      <c r="H113" t="s">
        <v>785</v>
      </c>
      <c r="I113">
        <v>1</v>
      </c>
      <c r="J113" s="2">
        <v>8200</v>
      </c>
      <c r="K113">
        <v>61251001</v>
      </c>
      <c r="L113" t="s">
        <v>839</v>
      </c>
    </row>
    <row r="114" spans="1:12" x14ac:dyDescent="0.35">
      <c r="A114" s="9" t="s">
        <v>86</v>
      </c>
      <c r="B114" s="2">
        <f>EXAMENES[[#This Row],[VALOR_UND]]*EXAMENES[[#This Row],[CANT_A_PAGAR]]</f>
        <v>26200</v>
      </c>
      <c r="C114" t="s">
        <v>87</v>
      </c>
      <c r="D114" t="s">
        <v>5</v>
      </c>
      <c r="E114" t="s">
        <v>772</v>
      </c>
      <c r="F114" t="s">
        <v>777</v>
      </c>
      <c r="G114" s="2">
        <v>26200</v>
      </c>
      <c r="H114" t="s">
        <v>782</v>
      </c>
      <c r="I114">
        <v>1</v>
      </c>
      <c r="J114" s="2">
        <v>26200</v>
      </c>
      <c r="K114">
        <v>61251003</v>
      </c>
      <c r="L114" t="s">
        <v>841</v>
      </c>
    </row>
    <row r="115" spans="1:12" x14ac:dyDescent="0.35">
      <c r="A115" s="9" t="s">
        <v>37</v>
      </c>
      <c r="B115" s="2">
        <f>EXAMENES[[#This Row],[VALOR_UND]]*EXAMENES[[#This Row],[CANT_A_PAGAR]]</f>
        <v>14800</v>
      </c>
      <c r="C115" t="s">
        <v>38</v>
      </c>
      <c r="D115" t="s">
        <v>39</v>
      </c>
      <c r="E115" t="s">
        <v>771</v>
      </c>
      <c r="F115" t="s">
        <v>771</v>
      </c>
      <c r="G115" s="2">
        <v>14800</v>
      </c>
      <c r="H115" t="s">
        <v>783</v>
      </c>
      <c r="I115">
        <v>1</v>
      </c>
      <c r="J115" s="2">
        <v>14800</v>
      </c>
      <c r="K115">
        <v>61251006</v>
      </c>
      <c r="L115" t="s">
        <v>845</v>
      </c>
    </row>
    <row r="116" spans="1:12" x14ac:dyDescent="0.35">
      <c r="A116" s="9" t="s">
        <v>80</v>
      </c>
      <c r="B116" s="2">
        <f>EXAMENES[[#This Row],[VALOR_UND]]*EXAMENES[[#This Row],[CANT_A_PAGAR]]</f>
        <v>28000</v>
      </c>
      <c r="C116" t="s">
        <v>81</v>
      </c>
      <c r="D116" t="s">
        <v>5</v>
      </c>
      <c r="E116" t="s">
        <v>772</v>
      </c>
      <c r="F116" t="s">
        <v>534</v>
      </c>
      <c r="G116" s="2">
        <v>28000</v>
      </c>
      <c r="H116" t="s">
        <v>782</v>
      </c>
      <c r="I116">
        <v>1</v>
      </c>
      <c r="J116" s="2">
        <v>28000</v>
      </c>
      <c r="K116">
        <v>61251003</v>
      </c>
      <c r="L116" t="s">
        <v>841</v>
      </c>
    </row>
    <row r="117" spans="1:12" x14ac:dyDescent="0.35">
      <c r="A117" s="9" t="s">
        <v>82</v>
      </c>
      <c r="B117" s="2">
        <f>EXAMENES[[#This Row],[VALOR_UND]]*EXAMENES[[#This Row],[CANT_A_PAGAR]]</f>
        <v>26200</v>
      </c>
      <c r="C117" t="s">
        <v>83</v>
      </c>
      <c r="D117" t="s">
        <v>5</v>
      </c>
      <c r="E117" t="s">
        <v>772</v>
      </c>
      <c r="F117" t="s">
        <v>777</v>
      </c>
      <c r="G117" s="2">
        <v>26200</v>
      </c>
      <c r="H117" t="s">
        <v>782</v>
      </c>
      <c r="I117">
        <v>1</v>
      </c>
      <c r="J117" s="2">
        <v>26200</v>
      </c>
      <c r="K117">
        <v>61251003</v>
      </c>
      <c r="L117" t="s">
        <v>841</v>
      </c>
    </row>
    <row r="118" spans="1:12" x14ac:dyDescent="0.35">
      <c r="A118" s="9" t="s">
        <v>84</v>
      </c>
      <c r="B118" s="2">
        <f>EXAMENES[[#This Row],[VALOR_UND]]*EXAMENES[[#This Row],[CANT_A_PAGAR]]</f>
        <v>26200</v>
      </c>
      <c r="C118" t="s">
        <v>85</v>
      </c>
      <c r="D118" t="s">
        <v>5</v>
      </c>
      <c r="E118" t="s">
        <v>772</v>
      </c>
      <c r="F118" t="s">
        <v>777</v>
      </c>
      <c r="G118" s="2">
        <v>26200</v>
      </c>
      <c r="H118" t="s">
        <v>782</v>
      </c>
      <c r="I118">
        <v>1</v>
      </c>
      <c r="J118" s="2">
        <v>26200</v>
      </c>
      <c r="K118">
        <v>61251003</v>
      </c>
      <c r="L118" t="s">
        <v>841</v>
      </c>
    </row>
    <row r="119" spans="1:12" x14ac:dyDescent="0.35">
      <c r="A119" s="9" t="s">
        <v>90</v>
      </c>
      <c r="B119" s="2">
        <f>EXAMENES[[#This Row],[VALOR_UND]]*EXAMENES[[#This Row],[CANT_A_PAGAR]]</f>
        <v>52400</v>
      </c>
      <c r="C119" t="s">
        <v>91</v>
      </c>
      <c r="D119" t="s">
        <v>5</v>
      </c>
      <c r="E119" t="s">
        <v>772</v>
      </c>
      <c r="F119" t="s">
        <v>777</v>
      </c>
      <c r="G119" s="2">
        <v>26200</v>
      </c>
      <c r="H119" t="s">
        <v>782</v>
      </c>
      <c r="I119">
        <v>2</v>
      </c>
      <c r="J119" s="2">
        <v>26200</v>
      </c>
      <c r="K119">
        <v>61251003</v>
      </c>
      <c r="L119" t="s">
        <v>841</v>
      </c>
    </row>
    <row r="120" spans="1:12" x14ac:dyDescent="0.35">
      <c r="A120" s="9" t="s">
        <v>92</v>
      </c>
      <c r="B120" s="2">
        <f>EXAMENES[[#This Row],[VALOR_UND]]*EXAMENES[[#This Row],[CANT_A_PAGAR]]</f>
        <v>52400</v>
      </c>
      <c r="C120" t="s">
        <v>93</v>
      </c>
      <c r="D120" t="s">
        <v>5</v>
      </c>
      <c r="E120" t="s">
        <v>772</v>
      </c>
      <c r="F120" t="s">
        <v>777</v>
      </c>
      <c r="G120" s="2">
        <v>26200</v>
      </c>
      <c r="H120" t="s">
        <v>782</v>
      </c>
      <c r="I120">
        <v>2</v>
      </c>
      <c r="J120" s="2">
        <v>26200</v>
      </c>
      <c r="K120">
        <v>61251003</v>
      </c>
      <c r="L120" t="s">
        <v>841</v>
      </c>
    </row>
    <row r="121" spans="1:12" x14ac:dyDescent="0.35">
      <c r="A121" s="9" t="s">
        <v>156</v>
      </c>
      <c r="B121" s="2">
        <f>EXAMENES[[#This Row],[VALOR_UND]]*EXAMENES[[#This Row],[CANT_A_PAGAR]]</f>
        <v>52400</v>
      </c>
      <c r="C121" t="s">
        <v>157</v>
      </c>
      <c r="D121" t="s">
        <v>5</v>
      </c>
      <c r="E121" t="s">
        <v>772</v>
      </c>
      <c r="F121" t="s">
        <v>777</v>
      </c>
      <c r="G121" s="2">
        <v>26200</v>
      </c>
      <c r="H121" t="s">
        <v>782</v>
      </c>
      <c r="I121">
        <v>2</v>
      </c>
      <c r="J121" s="2">
        <v>26200</v>
      </c>
      <c r="K121">
        <v>61251003</v>
      </c>
      <c r="L121" t="s">
        <v>841</v>
      </c>
    </row>
    <row r="122" spans="1:12" x14ac:dyDescent="0.35">
      <c r="A122" s="9">
        <v>881100</v>
      </c>
      <c r="B122" s="2">
        <f>EXAMENES[[#This Row],[VALOR_UND]]*EXAMENES[[#This Row],[CANT_A_PAGAR]]</f>
        <v>26200</v>
      </c>
      <c r="C122" t="s">
        <v>517</v>
      </c>
      <c r="D122" t="s">
        <v>5</v>
      </c>
      <c r="E122" t="s">
        <v>772</v>
      </c>
      <c r="F122" t="s">
        <v>777</v>
      </c>
      <c r="G122" s="2">
        <v>26200</v>
      </c>
      <c r="H122" t="s">
        <v>782</v>
      </c>
      <c r="I122">
        <v>1</v>
      </c>
      <c r="J122" s="2">
        <v>26200</v>
      </c>
      <c r="K122">
        <v>61251003</v>
      </c>
      <c r="L122" t="s">
        <v>841</v>
      </c>
    </row>
    <row r="123" spans="1:12" x14ac:dyDescent="0.35">
      <c r="A123" s="7">
        <v>881112</v>
      </c>
      <c r="B123" s="2">
        <f>EXAMENES[[#This Row],[VALOR_UND]]*EXAMENES[[#This Row],[CANT_A_PAGAR]]</f>
        <v>26200</v>
      </c>
      <c r="C123" s="1" t="s">
        <v>519</v>
      </c>
      <c r="D123" s="1" t="s">
        <v>5</v>
      </c>
      <c r="E123" s="1" t="s">
        <v>772</v>
      </c>
      <c r="F123" s="1" t="s">
        <v>777</v>
      </c>
      <c r="G123" s="2">
        <v>26200</v>
      </c>
      <c r="H123" s="1" t="s">
        <v>782</v>
      </c>
      <c r="I123" s="1">
        <v>1</v>
      </c>
      <c r="J123" s="2">
        <v>26200</v>
      </c>
      <c r="K123" s="1">
        <v>61251003</v>
      </c>
      <c r="L123" s="1" t="s">
        <v>841</v>
      </c>
    </row>
    <row r="124" spans="1:12" x14ac:dyDescent="0.35">
      <c r="A124" s="9">
        <v>881130</v>
      </c>
      <c r="B124" s="2">
        <f>EXAMENES[[#This Row],[VALOR_UND]]*EXAMENES[[#This Row],[CANT_A_PAGAR]]</f>
        <v>26200</v>
      </c>
      <c r="C124" t="s">
        <v>523</v>
      </c>
      <c r="D124" t="s">
        <v>5</v>
      </c>
      <c r="E124" t="s">
        <v>772</v>
      </c>
      <c r="F124" t="s">
        <v>777</v>
      </c>
      <c r="G124" s="2">
        <v>26200</v>
      </c>
      <c r="H124" t="s">
        <v>782</v>
      </c>
      <c r="I124">
        <v>1</v>
      </c>
      <c r="J124" s="2">
        <v>26200</v>
      </c>
      <c r="K124">
        <v>61251003</v>
      </c>
      <c r="L124" t="s">
        <v>841</v>
      </c>
    </row>
    <row r="125" spans="1:12" x14ac:dyDescent="0.35">
      <c r="A125" s="9">
        <v>881132</v>
      </c>
      <c r="B125" s="2">
        <f>EXAMENES[[#This Row],[VALOR_UND]]*EXAMENES[[#This Row],[CANT_A_PAGAR]]</f>
        <v>26200</v>
      </c>
      <c r="C125" t="s">
        <v>527</v>
      </c>
      <c r="D125" t="s">
        <v>5</v>
      </c>
      <c r="E125" t="s">
        <v>772</v>
      </c>
      <c r="F125" t="s">
        <v>777</v>
      </c>
      <c r="G125" s="2">
        <v>26200</v>
      </c>
      <c r="H125" t="s">
        <v>782</v>
      </c>
      <c r="I125">
        <v>1</v>
      </c>
      <c r="J125" s="2">
        <v>26200</v>
      </c>
      <c r="K125">
        <v>61251003</v>
      </c>
      <c r="L125" t="s">
        <v>841</v>
      </c>
    </row>
    <row r="126" spans="1:12" x14ac:dyDescent="0.35">
      <c r="A126" s="9">
        <v>881141</v>
      </c>
      <c r="B126" s="2">
        <f>EXAMENES[[#This Row],[VALOR_UND]]*EXAMENES[[#This Row],[CANT_A_PAGAR]]</f>
        <v>26200</v>
      </c>
      <c r="C126" t="s">
        <v>532</v>
      </c>
      <c r="D126" t="s">
        <v>5</v>
      </c>
      <c r="E126" t="s">
        <v>772</v>
      </c>
      <c r="F126" t="s">
        <v>777</v>
      </c>
      <c r="G126" s="2">
        <v>26200</v>
      </c>
      <c r="H126" t="s">
        <v>782</v>
      </c>
      <c r="I126">
        <v>1</v>
      </c>
      <c r="J126" s="2">
        <v>26200</v>
      </c>
      <c r="K126">
        <v>61251003</v>
      </c>
      <c r="L126" t="s">
        <v>841</v>
      </c>
    </row>
    <row r="127" spans="1:12" x14ac:dyDescent="0.35">
      <c r="A127" s="9" t="s">
        <v>533</v>
      </c>
      <c r="B127" s="2">
        <f>EXAMENES[[#This Row],[VALOR_UND]]*EXAMENES[[#This Row],[CANT_A_PAGAR]]</f>
        <v>28000</v>
      </c>
      <c r="C127" t="s">
        <v>534</v>
      </c>
      <c r="D127" t="s">
        <v>5</v>
      </c>
      <c r="E127" t="s">
        <v>772</v>
      </c>
      <c r="F127" t="s">
        <v>534</v>
      </c>
      <c r="G127" s="2">
        <v>28000</v>
      </c>
      <c r="H127" t="s">
        <v>782</v>
      </c>
      <c r="I127">
        <v>1</v>
      </c>
      <c r="J127" s="2">
        <v>28000</v>
      </c>
      <c r="K127">
        <v>61251003</v>
      </c>
      <c r="L127" t="s">
        <v>841</v>
      </c>
    </row>
    <row r="128" spans="1:12" x14ac:dyDescent="0.35">
      <c r="A128" s="9">
        <v>881201</v>
      </c>
      <c r="B128" s="2">
        <f>EXAMENES[[#This Row],[VALOR_UND]]*EXAMENES[[#This Row],[CANT_A_PAGAR]]</f>
        <v>28000</v>
      </c>
      <c r="C128" t="s">
        <v>536</v>
      </c>
      <c r="D128" t="s">
        <v>5</v>
      </c>
      <c r="E128" t="s">
        <v>772</v>
      </c>
      <c r="F128" t="s">
        <v>534</v>
      </c>
      <c r="G128" s="2">
        <v>28000</v>
      </c>
      <c r="H128" t="s">
        <v>782</v>
      </c>
      <c r="I128">
        <v>1</v>
      </c>
      <c r="J128" s="2">
        <v>28000</v>
      </c>
      <c r="K128">
        <v>61251003</v>
      </c>
      <c r="L128" t="s">
        <v>841</v>
      </c>
    </row>
    <row r="129" spans="1:12" x14ac:dyDescent="0.35">
      <c r="A129" s="9">
        <v>881211</v>
      </c>
      <c r="B129" s="2">
        <f>EXAMENES[[#This Row],[VALOR_UND]]*EXAMENES[[#This Row],[CANT_A_PAGAR]]</f>
        <v>26200</v>
      </c>
      <c r="C129" t="s">
        <v>538</v>
      </c>
      <c r="D129" t="s">
        <v>5</v>
      </c>
      <c r="E129" t="s">
        <v>772</v>
      </c>
      <c r="F129" t="s">
        <v>777</v>
      </c>
      <c r="G129" s="2">
        <v>26200</v>
      </c>
      <c r="H129" t="s">
        <v>782</v>
      </c>
      <c r="I129">
        <v>1</v>
      </c>
      <c r="J129" s="2">
        <v>26200</v>
      </c>
      <c r="K129">
        <v>61251003</v>
      </c>
      <c r="L129" t="s">
        <v>841</v>
      </c>
    </row>
    <row r="130" spans="1:12" x14ac:dyDescent="0.35">
      <c r="A130" s="9">
        <v>881212</v>
      </c>
      <c r="B130" s="2">
        <f>EXAMENES[[#This Row],[VALOR_UND]]*EXAMENES[[#This Row],[CANT_A_PAGAR]]</f>
        <v>26200</v>
      </c>
      <c r="C130" t="s">
        <v>540</v>
      </c>
      <c r="D130" t="s">
        <v>5</v>
      </c>
      <c r="E130" t="s">
        <v>772</v>
      </c>
      <c r="F130" t="s">
        <v>777</v>
      </c>
      <c r="G130" s="2">
        <v>26200</v>
      </c>
      <c r="H130" t="s">
        <v>782</v>
      </c>
      <c r="I130">
        <v>1</v>
      </c>
      <c r="J130" s="2">
        <v>26200</v>
      </c>
      <c r="K130">
        <v>61251003</v>
      </c>
      <c r="L130" t="s">
        <v>841</v>
      </c>
    </row>
    <row r="131" spans="1:12" x14ac:dyDescent="0.35">
      <c r="A131" s="9">
        <v>881220</v>
      </c>
      <c r="B131" s="2">
        <f>EXAMENES[[#This Row],[VALOR_UND]]*EXAMENES[[#This Row],[CANT_A_PAGAR]]</f>
        <v>26200</v>
      </c>
      <c r="C131" t="s">
        <v>542</v>
      </c>
      <c r="D131" t="s">
        <v>5</v>
      </c>
      <c r="E131" t="s">
        <v>772</v>
      </c>
      <c r="F131" t="s">
        <v>777</v>
      </c>
      <c r="G131" s="2">
        <v>26200</v>
      </c>
      <c r="H131" t="s">
        <v>782</v>
      </c>
      <c r="I131">
        <v>1</v>
      </c>
      <c r="J131" s="2">
        <v>26200</v>
      </c>
      <c r="K131">
        <v>61251003</v>
      </c>
      <c r="L131" t="s">
        <v>841</v>
      </c>
    </row>
    <row r="132" spans="1:12" x14ac:dyDescent="0.35">
      <c r="A132" s="9">
        <v>881240</v>
      </c>
      <c r="B132" s="2">
        <f>EXAMENES[[#This Row],[VALOR_UND]]*EXAMENES[[#This Row],[CANT_A_PAGAR]]</f>
        <v>26200</v>
      </c>
      <c r="C132" t="s">
        <v>545</v>
      </c>
      <c r="D132" t="s">
        <v>5</v>
      </c>
      <c r="E132" t="s">
        <v>772</v>
      </c>
      <c r="F132" t="s">
        <v>777</v>
      </c>
      <c r="G132" s="2">
        <v>26200</v>
      </c>
      <c r="H132" t="s">
        <v>782</v>
      </c>
      <c r="I132">
        <v>1</v>
      </c>
      <c r="J132" s="2">
        <v>26200</v>
      </c>
      <c r="K132">
        <v>61251003</v>
      </c>
      <c r="L132" t="s">
        <v>841</v>
      </c>
    </row>
    <row r="133" spans="1:12" x14ac:dyDescent="0.35">
      <c r="A133" s="9">
        <v>881290</v>
      </c>
      <c r="B133" s="2">
        <f>EXAMENES[[#This Row],[VALOR_UND]]*EXAMENES[[#This Row],[CANT_A_PAGAR]]</f>
        <v>26200</v>
      </c>
      <c r="C133" t="s">
        <v>547</v>
      </c>
      <c r="D133" t="s">
        <v>5</v>
      </c>
      <c r="E133" t="s">
        <v>772</v>
      </c>
      <c r="F133" t="s">
        <v>777</v>
      </c>
      <c r="G133" s="2">
        <v>26200</v>
      </c>
      <c r="H133" t="s">
        <v>782</v>
      </c>
      <c r="I133">
        <v>1</v>
      </c>
      <c r="J133" s="2">
        <v>26200</v>
      </c>
      <c r="K133">
        <v>61251003</v>
      </c>
      <c r="L133" t="s">
        <v>841</v>
      </c>
    </row>
    <row r="134" spans="1:12" x14ac:dyDescent="0.35">
      <c r="A134" s="9">
        <v>881301</v>
      </c>
      <c r="B134" s="2">
        <f>EXAMENES[[#This Row],[VALOR_UND]]*EXAMENES[[#This Row],[CANT_A_PAGAR]]</f>
        <v>26200</v>
      </c>
      <c r="C134" t="s">
        <v>549</v>
      </c>
      <c r="D134" t="s">
        <v>5</v>
      </c>
      <c r="E134" t="s">
        <v>772</v>
      </c>
      <c r="F134" t="s">
        <v>777</v>
      </c>
      <c r="G134" s="2">
        <v>26200</v>
      </c>
      <c r="H134" t="s">
        <v>782</v>
      </c>
      <c r="I134">
        <v>1</v>
      </c>
      <c r="J134" s="2">
        <v>26200</v>
      </c>
      <c r="K134">
        <v>61251003</v>
      </c>
      <c r="L134" t="s">
        <v>841</v>
      </c>
    </row>
    <row r="135" spans="1:12" x14ac:dyDescent="0.35">
      <c r="A135" s="9">
        <v>881302</v>
      </c>
      <c r="B135" s="2">
        <f>EXAMENES[[#This Row],[VALOR_UND]]*EXAMENES[[#This Row],[CANT_A_PAGAR]]</f>
        <v>26200</v>
      </c>
      <c r="C135" t="s">
        <v>551</v>
      </c>
      <c r="D135" t="s">
        <v>5</v>
      </c>
      <c r="E135" t="s">
        <v>772</v>
      </c>
      <c r="F135" t="s">
        <v>777</v>
      </c>
      <c r="G135" s="2">
        <v>26200</v>
      </c>
      <c r="H135" t="s">
        <v>782</v>
      </c>
      <c r="I135">
        <v>1</v>
      </c>
      <c r="J135" s="2">
        <v>26200</v>
      </c>
      <c r="K135">
        <v>61251003</v>
      </c>
      <c r="L135" t="s">
        <v>841</v>
      </c>
    </row>
    <row r="136" spans="1:12" x14ac:dyDescent="0.35">
      <c r="A136" s="9">
        <v>881305</v>
      </c>
      <c r="B136" s="2">
        <f>EXAMENES[[#This Row],[VALOR_UND]]*EXAMENES[[#This Row],[CANT_A_PAGAR]]</f>
        <v>26200</v>
      </c>
      <c r="C136" t="s">
        <v>553</v>
      </c>
      <c r="D136" t="s">
        <v>5</v>
      </c>
      <c r="E136" t="s">
        <v>772</v>
      </c>
      <c r="F136" t="s">
        <v>777</v>
      </c>
      <c r="G136" s="2">
        <v>26200</v>
      </c>
      <c r="H136" t="s">
        <v>782</v>
      </c>
      <c r="I136">
        <v>1</v>
      </c>
      <c r="J136" s="2">
        <v>26200</v>
      </c>
      <c r="K136">
        <v>61251003</v>
      </c>
      <c r="L136" t="s">
        <v>841</v>
      </c>
    </row>
    <row r="137" spans="1:12" x14ac:dyDescent="0.35">
      <c r="A137" s="9">
        <v>881306</v>
      </c>
      <c r="B137" s="2">
        <f>EXAMENES[[#This Row],[VALOR_UND]]*EXAMENES[[#This Row],[CANT_A_PAGAR]]</f>
        <v>26200</v>
      </c>
      <c r="C137" t="s">
        <v>555</v>
      </c>
      <c r="D137" t="s">
        <v>5</v>
      </c>
      <c r="E137" t="s">
        <v>772</v>
      </c>
      <c r="F137" t="s">
        <v>777</v>
      </c>
      <c r="G137" s="2">
        <v>26200</v>
      </c>
      <c r="H137" t="s">
        <v>782</v>
      </c>
      <c r="I137">
        <v>1</v>
      </c>
      <c r="J137" s="2">
        <v>26200</v>
      </c>
      <c r="K137">
        <v>61251003</v>
      </c>
      <c r="L137" t="s">
        <v>841</v>
      </c>
    </row>
    <row r="138" spans="1:12" s="1" customFormat="1" x14ac:dyDescent="0.35">
      <c r="A138" s="7">
        <v>881313</v>
      </c>
      <c r="B138" s="2">
        <f>EXAMENES[[#This Row],[VALOR_UND]]*EXAMENES[[#This Row],[CANT_A_PAGAR]]</f>
        <v>26200</v>
      </c>
      <c r="C138" s="1" t="s">
        <v>557</v>
      </c>
      <c r="D138" s="1" t="s">
        <v>5</v>
      </c>
      <c r="E138" s="1" t="s">
        <v>772</v>
      </c>
      <c r="F138" s="1" t="s">
        <v>777</v>
      </c>
      <c r="G138" s="2">
        <v>26200</v>
      </c>
      <c r="H138" s="1" t="s">
        <v>782</v>
      </c>
      <c r="I138" s="1">
        <v>1</v>
      </c>
      <c r="J138" s="2">
        <v>26200</v>
      </c>
      <c r="K138" s="1">
        <v>61251003</v>
      </c>
      <c r="L138" s="1" t="s">
        <v>841</v>
      </c>
    </row>
    <row r="139" spans="1:12" x14ac:dyDescent="0.35">
      <c r="A139" s="9">
        <v>881318</v>
      </c>
      <c r="B139" s="2">
        <f>EXAMENES[[#This Row],[VALOR_UND]]*EXAMENES[[#This Row],[CANT_A_PAGAR]]</f>
        <v>26200</v>
      </c>
      <c r="C139" t="s">
        <v>559</v>
      </c>
      <c r="D139" t="s">
        <v>5</v>
      </c>
      <c r="E139" t="s">
        <v>772</v>
      </c>
      <c r="F139" t="s">
        <v>777</v>
      </c>
      <c r="G139" s="2">
        <v>26200</v>
      </c>
      <c r="H139" t="s">
        <v>782</v>
      </c>
      <c r="I139">
        <v>1</v>
      </c>
      <c r="J139" s="2">
        <v>26200</v>
      </c>
      <c r="K139">
        <v>61251003</v>
      </c>
      <c r="L139" t="s">
        <v>841</v>
      </c>
    </row>
    <row r="140" spans="1:12" x14ac:dyDescent="0.35">
      <c r="A140" s="9">
        <v>881320</v>
      </c>
      <c r="B140" s="2">
        <f>EXAMENES[[#This Row],[VALOR_UND]]*EXAMENES[[#This Row],[CANT_A_PAGAR]]</f>
        <v>26200</v>
      </c>
      <c r="C140" t="s">
        <v>561</v>
      </c>
      <c r="D140" t="s">
        <v>5</v>
      </c>
      <c r="E140" t="s">
        <v>772</v>
      </c>
      <c r="F140" t="s">
        <v>777</v>
      </c>
      <c r="G140" s="2">
        <v>26200</v>
      </c>
      <c r="H140" t="s">
        <v>782</v>
      </c>
      <c r="I140">
        <v>1</v>
      </c>
      <c r="J140" s="2">
        <v>26200</v>
      </c>
      <c r="K140">
        <v>61251003</v>
      </c>
      <c r="L140" t="s">
        <v>841</v>
      </c>
    </row>
    <row r="141" spans="1:12" x14ac:dyDescent="0.35">
      <c r="A141" s="9">
        <v>881331</v>
      </c>
      <c r="B141" s="2">
        <f>EXAMENES[[#This Row],[VALOR_UND]]*EXAMENES[[#This Row],[CANT_A_PAGAR]]</f>
        <v>26200</v>
      </c>
      <c r="C141" t="s">
        <v>563</v>
      </c>
      <c r="D141" t="s">
        <v>5</v>
      </c>
      <c r="E141" t="s">
        <v>772</v>
      </c>
      <c r="F141" t="s">
        <v>777</v>
      </c>
      <c r="G141" s="2">
        <v>26200</v>
      </c>
      <c r="H141" t="s">
        <v>782</v>
      </c>
      <c r="I141">
        <v>1</v>
      </c>
      <c r="J141" s="2">
        <v>26200</v>
      </c>
      <c r="K141">
        <v>61251003</v>
      </c>
      <c r="L141" t="s">
        <v>841</v>
      </c>
    </row>
    <row r="142" spans="1:12" x14ac:dyDescent="0.35">
      <c r="A142" s="9">
        <v>881332</v>
      </c>
      <c r="B142" s="2">
        <f>EXAMENES[[#This Row],[VALOR_UND]]*EXAMENES[[#This Row],[CANT_A_PAGAR]]</f>
        <v>26200</v>
      </c>
      <c r="C142" t="s">
        <v>565</v>
      </c>
      <c r="D142" t="s">
        <v>5</v>
      </c>
      <c r="E142" t="s">
        <v>772</v>
      </c>
      <c r="F142" t="s">
        <v>777</v>
      </c>
      <c r="G142" s="2">
        <v>26200</v>
      </c>
      <c r="H142" t="s">
        <v>782</v>
      </c>
      <c r="I142">
        <v>1</v>
      </c>
      <c r="J142" s="2">
        <v>26200</v>
      </c>
      <c r="K142">
        <v>61251003</v>
      </c>
      <c r="L142" t="s">
        <v>841</v>
      </c>
    </row>
    <row r="143" spans="1:12" x14ac:dyDescent="0.35">
      <c r="A143" s="9">
        <v>881340</v>
      </c>
      <c r="B143" s="2">
        <f>EXAMENES[[#This Row],[VALOR_UND]]*EXAMENES[[#This Row],[CANT_A_PAGAR]]</f>
        <v>26200</v>
      </c>
      <c r="C143" t="s">
        <v>567</v>
      </c>
      <c r="D143" t="s">
        <v>5</v>
      </c>
      <c r="E143" t="s">
        <v>772</v>
      </c>
      <c r="F143" t="s">
        <v>777</v>
      </c>
      <c r="G143" s="2">
        <v>26200</v>
      </c>
      <c r="H143" t="s">
        <v>782</v>
      </c>
      <c r="I143">
        <v>1</v>
      </c>
      <c r="J143" s="2">
        <v>26200</v>
      </c>
      <c r="K143">
        <v>61251003</v>
      </c>
      <c r="L143" t="s">
        <v>841</v>
      </c>
    </row>
    <row r="144" spans="1:12" x14ac:dyDescent="0.35">
      <c r="A144" s="9">
        <v>881390</v>
      </c>
      <c r="B144" s="2">
        <f>EXAMENES[[#This Row],[VALOR_UND]]*EXAMENES[[#This Row],[CANT_A_PAGAR]]</f>
        <v>26200</v>
      </c>
      <c r="C144" t="s">
        <v>573</v>
      </c>
      <c r="D144" t="s">
        <v>5</v>
      </c>
      <c r="E144" t="s">
        <v>772</v>
      </c>
      <c r="F144" t="s">
        <v>777</v>
      </c>
      <c r="G144" s="2">
        <v>26200</v>
      </c>
      <c r="H144" t="s">
        <v>782</v>
      </c>
      <c r="I144">
        <v>1</v>
      </c>
      <c r="J144" s="2">
        <v>26200</v>
      </c>
      <c r="K144">
        <v>61251003</v>
      </c>
      <c r="L144" t="s">
        <v>841</v>
      </c>
    </row>
    <row r="145" spans="1:12" s="27" customFormat="1" x14ac:dyDescent="0.35">
      <c r="A145" s="17">
        <v>881410</v>
      </c>
      <c r="B145" s="19">
        <f>EXAMENES[[#This Row],[VALOR_UND]]*EXAMENES[[#This Row],[CANT_A_PAGAR]]</f>
        <v>90900</v>
      </c>
      <c r="C145" s="18" t="s">
        <v>579</v>
      </c>
      <c r="D145" s="18" t="s">
        <v>5</v>
      </c>
      <c r="E145" s="18" t="s">
        <v>772</v>
      </c>
      <c r="F145" s="18" t="s">
        <v>777</v>
      </c>
      <c r="G145" s="19">
        <v>90900</v>
      </c>
      <c r="H145" s="18" t="s">
        <v>782</v>
      </c>
      <c r="I145" s="18">
        <v>1</v>
      </c>
      <c r="J145" s="19">
        <v>90900</v>
      </c>
      <c r="K145" s="18">
        <v>61251003</v>
      </c>
      <c r="L145" s="18" t="s">
        <v>841</v>
      </c>
    </row>
    <row r="146" spans="1:12" s="3" customFormat="1" x14ac:dyDescent="0.35">
      <c r="A146" s="8">
        <v>881433</v>
      </c>
      <c r="B146" s="4">
        <f>EXAMENES[[#This Row],[VALOR_UND]]*EXAMENES[[#This Row],[CANT_A_PAGAR]]</f>
        <v>27000</v>
      </c>
      <c r="C146" s="3" t="s">
        <v>585</v>
      </c>
      <c r="D146" s="3" t="s">
        <v>5</v>
      </c>
      <c r="E146" s="3" t="s">
        <v>772</v>
      </c>
      <c r="F146" s="3" t="s">
        <v>778</v>
      </c>
      <c r="G146" s="4">
        <v>27000</v>
      </c>
      <c r="H146" s="3" t="s">
        <v>782</v>
      </c>
      <c r="I146" s="3">
        <v>1</v>
      </c>
      <c r="J146" s="4">
        <v>27000</v>
      </c>
      <c r="K146" s="3">
        <v>61251003</v>
      </c>
      <c r="L146" s="3" t="s">
        <v>841</v>
      </c>
    </row>
    <row r="147" spans="1:12" x14ac:dyDescent="0.35">
      <c r="A147" s="9">
        <v>881501</v>
      </c>
      <c r="B147" s="2">
        <f>EXAMENES[[#This Row],[VALOR_UND]]*EXAMENES[[#This Row],[CANT_A_PAGAR]]</f>
        <v>26200</v>
      </c>
      <c r="C147" t="s">
        <v>591</v>
      </c>
      <c r="D147" t="s">
        <v>5</v>
      </c>
      <c r="E147" t="s">
        <v>772</v>
      </c>
      <c r="F147" t="s">
        <v>777</v>
      </c>
      <c r="G147" s="2">
        <v>26200</v>
      </c>
      <c r="H147" t="s">
        <v>782</v>
      </c>
      <c r="I147">
        <v>1</v>
      </c>
      <c r="J147" s="2">
        <v>26200</v>
      </c>
      <c r="K147">
        <v>61251003</v>
      </c>
      <c r="L147" t="s">
        <v>841</v>
      </c>
    </row>
    <row r="148" spans="1:12" x14ac:dyDescent="0.35">
      <c r="A148" s="9">
        <v>881502</v>
      </c>
      <c r="B148" s="2">
        <f>EXAMENES[[#This Row],[VALOR_UND]]*EXAMENES[[#This Row],[CANT_A_PAGAR]]</f>
        <v>26200</v>
      </c>
      <c r="C148" t="s">
        <v>593</v>
      </c>
      <c r="D148" t="s">
        <v>5</v>
      </c>
      <c r="E148" t="s">
        <v>772</v>
      </c>
      <c r="F148" t="s">
        <v>777</v>
      </c>
      <c r="G148" s="2">
        <v>26200</v>
      </c>
      <c r="H148" t="s">
        <v>782</v>
      </c>
      <c r="I148">
        <v>1</v>
      </c>
      <c r="J148" s="2">
        <v>26200</v>
      </c>
      <c r="K148">
        <v>61251003</v>
      </c>
      <c r="L148" t="s">
        <v>841</v>
      </c>
    </row>
    <row r="149" spans="1:12" x14ac:dyDescent="0.35">
      <c r="A149" s="9">
        <v>881510</v>
      </c>
      <c r="B149" s="2">
        <f>EXAMENES[[#This Row],[VALOR_UND]]*EXAMENES[[#This Row],[CANT_A_PAGAR]]</f>
        <v>26200</v>
      </c>
      <c r="C149" t="s">
        <v>595</v>
      </c>
      <c r="D149" t="s">
        <v>5</v>
      </c>
      <c r="E149" t="s">
        <v>772</v>
      </c>
      <c r="F149" t="s">
        <v>777</v>
      </c>
      <c r="G149" s="2">
        <v>26200</v>
      </c>
      <c r="H149" t="s">
        <v>782</v>
      </c>
      <c r="I149">
        <v>1</v>
      </c>
      <c r="J149" s="2">
        <v>26200</v>
      </c>
      <c r="K149">
        <v>61251003</v>
      </c>
      <c r="L149" t="s">
        <v>841</v>
      </c>
    </row>
    <row r="150" spans="1:12" x14ac:dyDescent="0.35">
      <c r="A150" s="9">
        <v>881521</v>
      </c>
      <c r="B150" s="2">
        <f>EXAMENES[[#This Row],[VALOR_UND]]*EXAMENES[[#This Row],[CANT_A_PAGAR]]</f>
        <v>26200</v>
      </c>
      <c r="C150" t="s">
        <v>599</v>
      </c>
      <c r="D150" t="s">
        <v>5</v>
      </c>
      <c r="E150" t="s">
        <v>772</v>
      </c>
      <c r="F150" t="s">
        <v>777</v>
      </c>
      <c r="G150" s="2">
        <v>26200</v>
      </c>
      <c r="H150" t="s">
        <v>782</v>
      </c>
      <c r="I150">
        <v>1</v>
      </c>
      <c r="J150" s="2">
        <v>26200</v>
      </c>
      <c r="K150">
        <v>61251003</v>
      </c>
      <c r="L150" t="s">
        <v>841</v>
      </c>
    </row>
    <row r="151" spans="1:12" x14ac:dyDescent="0.35">
      <c r="A151" s="9">
        <v>881601</v>
      </c>
      <c r="B151" s="2">
        <f>EXAMENES[[#This Row],[VALOR_UND]]*EXAMENES[[#This Row],[CANT_A_PAGAR]]</f>
        <v>26200</v>
      </c>
      <c r="C151" t="s">
        <v>601</v>
      </c>
      <c r="D151" t="s">
        <v>5</v>
      </c>
      <c r="E151" t="s">
        <v>772</v>
      </c>
      <c r="F151" t="s">
        <v>777</v>
      </c>
      <c r="G151" s="2">
        <v>26200</v>
      </c>
      <c r="H151" t="s">
        <v>782</v>
      </c>
      <c r="I151">
        <v>1</v>
      </c>
      <c r="J151" s="2">
        <v>26200</v>
      </c>
      <c r="K151">
        <v>61251003</v>
      </c>
      <c r="L151" t="s">
        <v>841</v>
      </c>
    </row>
    <row r="152" spans="1:12" x14ac:dyDescent="0.35">
      <c r="A152" s="9">
        <v>881602</v>
      </c>
      <c r="B152" s="2">
        <f>EXAMENES[[#This Row],[VALOR_UND]]*EXAMENES[[#This Row],[CANT_A_PAGAR]]</f>
        <v>26200</v>
      </c>
      <c r="C152" t="s">
        <v>603</v>
      </c>
      <c r="D152" t="s">
        <v>5</v>
      </c>
      <c r="E152" t="s">
        <v>772</v>
      </c>
      <c r="F152" t="s">
        <v>777</v>
      </c>
      <c r="G152" s="2">
        <v>26200</v>
      </c>
      <c r="H152" t="s">
        <v>782</v>
      </c>
      <c r="I152">
        <v>1</v>
      </c>
      <c r="J152" s="2">
        <v>26200</v>
      </c>
      <c r="K152">
        <v>61251003</v>
      </c>
      <c r="L152" t="s">
        <v>841</v>
      </c>
    </row>
    <row r="153" spans="1:12" x14ac:dyDescent="0.35">
      <c r="A153" s="9">
        <v>881610</v>
      </c>
      <c r="B153" s="2">
        <f>EXAMENES[[#This Row],[VALOR_UND]]*EXAMENES[[#This Row],[CANT_A_PAGAR]]</f>
        <v>26200</v>
      </c>
      <c r="C153" t="s">
        <v>605</v>
      </c>
      <c r="D153" t="s">
        <v>5</v>
      </c>
      <c r="E153" t="s">
        <v>772</v>
      </c>
      <c r="F153" t="s">
        <v>777</v>
      </c>
      <c r="G153" s="2">
        <v>26200</v>
      </c>
      <c r="H153" t="s">
        <v>782</v>
      </c>
      <c r="I153">
        <v>1</v>
      </c>
      <c r="J153" s="2">
        <v>26200</v>
      </c>
      <c r="K153">
        <v>61251003</v>
      </c>
      <c r="L153" t="s">
        <v>841</v>
      </c>
    </row>
    <row r="154" spans="1:12" x14ac:dyDescent="0.35">
      <c r="A154" s="9">
        <v>881611</v>
      </c>
      <c r="B154" s="2">
        <f>EXAMENES[[#This Row],[VALOR_UND]]*EXAMENES[[#This Row],[CANT_A_PAGAR]]</f>
        <v>26200</v>
      </c>
      <c r="C154" t="s">
        <v>607</v>
      </c>
      <c r="D154" t="s">
        <v>5</v>
      </c>
      <c r="E154" t="s">
        <v>772</v>
      </c>
      <c r="F154" t="s">
        <v>777</v>
      </c>
      <c r="G154" s="2">
        <v>26200</v>
      </c>
      <c r="H154" t="s">
        <v>782</v>
      </c>
      <c r="I154">
        <v>1</v>
      </c>
      <c r="J154" s="2">
        <v>26200</v>
      </c>
      <c r="K154">
        <v>61251003</v>
      </c>
      <c r="L154" t="s">
        <v>841</v>
      </c>
    </row>
    <row r="155" spans="1:12" x14ac:dyDescent="0.35">
      <c r="A155" s="9">
        <v>881612</v>
      </c>
      <c r="B155" s="2">
        <f>EXAMENES[[#This Row],[VALOR_UND]]*EXAMENES[[#This Row],[CANT_A_PAGAR]]</f>
        <v>26200</v>
      </c>
      <c r="C155" t="s">
        <v>609</v>
      </c>
      <c r="D155" t="s">
        <v>5</v>
      </c>
      <c r="E155" t="s">
        <v>772</v>
      </c>
      <c r="F155" t="s">
        <v>777</v>
      </c>
      <c r="G155" s="2">
        <v>26200</v>
      </c>
      <c r="H155" t="s">
        <v>782</v>
      </c>
      <c r="I155">
        <v>1</v>
      </c>
      <c r="J155" s="2">
        <v>26200</v>
      </c>
      <c r="K155">
        <v>61251003</v>
      </c>
      <c r="L155" t="s">
        <v>841</v>
      </c>
    </row>
    <row r="156" spans="1:12" x14ac:dyDescent="0.35">
      <c r="A156" s="9">
        <v>881613</v>
      </c>
      <c r="B156" s="2">
        <f>EXAMENES[[#This Row],[VALOR_UND]]*EXAMENES[[#This Row],[CANT_A_PAGAR]]</f>
        <v>26200</v>
      </c>
      <c r="C156" t="s">
        <v>131</v>
      </c>
      <c r="D156" t="s">
        <v>5</v>
      </c>
      <c r="E156" t="s">
        <v>772</v>
      </c>
      <c r="F156" t="s">
        <v>777</v>
      </c>
      <c r="G156" s="2">
        <v>26200</v>
      </c>
      <c r="H156" t="s">
        <v>782</v>
      </c>
      <c r="I156">
        <v>1</v>
      </c>
      <c r="J156" s="2">
        <v>26200</v>
      </c>
      <c r="K156">
        <v>61251003</v>
      </c>
      <c r="L156" t="s">
        <v>841</v>
      </c>
    </row>
    <row r="157" spans="1:12" x14ac:dyDescent="0.35">
      <c r="A157" s="9">
        <v>881620</v>
      </c>
      <c r="B157" s="2">
        <f>EXAMENES[[#This Row],[VALOR_UND]]*EXAMENES[[#This Row],[CANT_A_PAGAR]]</f>
        <v>26200</v>
      </c>
      <c r="C157" t="s">
        <v>612</v>
      </c>
      <c r="D157" t="s">
        <v>5</v>
      </c>
      <c r="E157" t="s">
        <v>772</v>
      </c>
      <c r="F157" t="s">
        <v>777</v>
      </c>
      <c r="G157" s="2">
        <v>26200</v>
      </c>
      <c r="H157" t="s">
        <v>782</v>
      </c>
      <c r="I157">
        <v>1</v>
      </c>
      <c r="J157" s="2">
        <v>26200</v>
      </c>
      <c r="K157">
        <v>61251003</v>
      </c>
      <c r="L157" t="s">
        <v>841</v>
      </c>
    </row>
    <row r="158" spans="1:12" x14ac:dyDescent="0.35">
      <c r="A158" s="9">
        <v>881621</v>
      </c>
      <c r="B158" s="2">
        <f>EXAMENES[[#This Row],[VALOR_UND]]*EXAMENES[[#This Row],[CANT_A_PAGAR]]</f>
        <v>26200</v>
      </c>
      <c r="C158" t="s">
        <v>614</v>
      </c>
      <c r="D158" t="s">
        <v>5</v>
      </c>
      <c r="E158" t="s">
        <v>772</v>
      </c>
      <c r="F158" t="s">
        <v>777</v>
      </c>
      <c r="G158" s="2">
        <v>26200</v>
      </c>
      <c r="H158" t="s">
        <v>782</v>
      </c>
      <c r="I158">
        <v>1</v>
      </c>
      <c r="J158" s="2">
        <v>26200</v>
      </c>
      <c r="K158">
        <v>61251003</v>
      </c>
      <c r="L158" t="s">
        <v>841</v>
      </c>
    </row>
    <row r="159" spans="1:12" x14ac:dyDescent="0.35">
      <c r="A159" s="9">
        <v>881622</v>
      </c>
      <c r="B159" s="2">
        <f>EXAMENES[[#This Row],[VALOR_UND]]*EXAMENES[[#This Row],[CANT_A_PAGAR]]</f>
        <v>26200</v>
      </c>
      <c r="C159" t="s">
        <v>616</v>
      </c>
      <c r="D159" t="s">
        <v>5</v>
      </c>
      <c r="E159" t="s">
        <v>772</v>
      </c>
      <c r="F159" t="s">
        <v>777</v>
      </c>
      <c r="G159" s="2">
        <v>26200</v>
      </c>
      <c r="H159" t="s">
        <v>782</v>
      </c>
      <c r="I159">
        <v>1</v>
      </c>
      <c r="J159" s="2">
        <v>26200</v>
      </c>
      <c r="K159">
        <v>61251003</v>
      </c>
      <c r="L159" t="s">
        <v>841</v>
      </c>
    </row>
    <row r="160" spans="1:12" x14ac:dyDescent="0.35">
      <c r="A160" s="9">
        <v>881630</v>
      </c>
      <c r="B160" s="2">
        <f>EXAMENES[[#This Row],[VALOR_UND]]*EXAMENES[[#This Row],[CANT_A_PAGAR]]</f>
        <v>26200</v>
      </c>
      <c r="C160" t="s">
        <v>618</v>
      </c>
      <c r="D160" t="s">
        <v>5</v>
      </c>
      <c r="E160" t="s">
        <v>772</v>
      </c>
      <c r="F160" t="s">
        <v>777</v>
      </c>
      <c r="G160" s="2">
        <v>26200</v>
      </c>
      <c r="H160" t="s">
        <v>782</v>
      </c>
      <c r="I160">
        <v>1</v>
      </c>
      <c r="J160" s="2">
        <v>26200</v>
      </c>
      <c r="K160">
        <v>61251003</v>
      </c>
      <c r="L160" t="s">
        <v>841</v>
      </c>
    </row>
    <row r="161" spans="1:12" x14ac:dyDescent="0.35">
      <c r="A161" s="9">
        <v>881640</v>
      </c>
      <c r="B161" s="2">
        <f>EXAMENES[[#This Row],[VALOR_UND]]*EXAMENES[[#This Row],[CANT_A_PAGAR]]</f>
        <v>26200</v>
      </c>
      <c r="C161" t="s">
        <v>620</v>
      </c>
      <c r="D161" t="s">
        <v>5</v>
      </c>
      <c r="E161" t="s">
        <v>772</v>
      </c>
      <c r="F161" t="s">
        <v>777</v>
      </c>
      <c r="G161" s="2">
        <v>26200</v>
      </c>
      <c r="H161" t="s">
        <v>782</v>
      </c>
      <c r="I161">
        <v>1</v>
      </c>
      <c r="J161" s="2">
        <v>26200</v>
      </c>
      <c r="K161">
        <v>61251003</v>
      </c>
      <c r="L161" t="s">
        <v>841</v>
      </c>
    </row>
    <row r="162" spans="1:12" x14ac:dyDescent="0.35">
      <c r="A162" s="9">
        <v>881701</v>
      </c>
      <c r="B162" s="2">
        <f>EXAMENES[[#This Row],[VALOR_UND]]*EXAMENES[[#This Row],[CANT_A_PAGAR]]</f>
        <v>26200</v>
      </c>
      <c r="C162" t="s">
        <v>622</v>
      </c>
      <c r="D162" t="s">
        <v>5</v>
      </c>
      <c r="E162" t="s">
        <v>772</v>
      </c>
      <c r="F162" t="s">
        <v>777</v>
      </c>
      <c r="G162" s="2">
        <v>26200</v>
      </c>
      <c r="H162" t="s">
        <v>782</v>
      </c>
      <c r="I162">
        <v>1</v>
      </c>
      <c r="J162" s="2">
        <v>26200</v>
      </c>
      <c r="K162">
        <v>61251003</v>
      </c>
      <c r="L162" t="s">
        <v>841</v>
      </c>
    </row>
    <row r="163" spans="1:12" x14ac:dyDescent="0.35">
      <c r="A163" s="9" t="s">
        <v>94</v>
      </c>
      <c r="B163" s="2">
        <f>EXAMENES[[#This Row],[VALOR_UND]]*EXAMENES[[#This Row],[CANT_A_PAGAR]]</f>
        <v>52400</v>
      </c>
      <c r="C163" t="s">
        <v>95</v>
      </c>
      <c r="D163" t="s">
        <v>5</v>
      </c>
      <c r="E163" t="s">
        <v>772</v>
      </c>
      <c r="F163" t="s">
        <v>777</v>
      </c>
      <c r="G163" s="2">
        <v>26200</v>
      </c>
      <c r="H163" t="s">
        <v>782</v>
      </c>
      <c r="I163">
        <v>2</v>
      </c>
      <c r="J163" s="2">
        <v>26200</v>
      </c>
      <c r="K163">
        <v>61251003</v>
      </c>
      <c r="L163" t="s">
        <v>841</v>
      </c>
    </row>
    <row r="164" spans="1:12" x14ac:dyDescent="0.35">
      <c r="A164" s="9">
        <v>876801</v>
      </c>
      <c r="B164" s="2">
        <f>EXAMENES[[#This Row],[VALOR_UND]]*EXAMENES[[#This Row],[CANT_A_PAGAR]]</f>
        <v>14800</v>
      </c>
      <c r="C164" t="s">
        <v>437</v>
      </c>
      <c r="D164" t="s">
        <v>39</v>
      </c>
      <c r="E164" t="s">
        <v>771</v>
      </c>
      <c r="F164" t="s">
        <v>771</v>
      </c>
      <c r="G164" s="2">
        <v>14800</v>
      </c>
      <c r="H164" t="s">
        <v>783</v>
      </c>
      <c r="I164">
        <v>1</v>
      </c>
      <c r="J164" s="2">
        <v>14800</v>
      </c>
      <c r="K164">
        <v>61251006</v>
      </c>
      <c r="L164" t="s">
        <v>845</v>
      </c>
    </row>
    <row r="165" spans="1:12" x14ac:dyDescent="0.35">
      <c r="A165" s="9">
        <v>876802</v>
      </c>
      <c r="B165" s="2">
        <f>EXAMENES[[#This Row],[VALOR_UND]]*EXAMENES[[#This Row],[CANT_A_PAGAR]]</f>
        <v>14800</v>
      </c>
      <c r="C165" t="s">
        <v>439</v>
      </c>
      <c r="D165" t="s">
        <v>39</v>
      </c>
      <c r="E165" t="s">
        <v>771</v>
      </c>
      <c r="F165" t="s">
        <v>771</v>
      </c>
      <c r="G165" s="2">
        <v>14800</v>
      </c>
      <c r="H165" t="s">
        <v>783</v>
      </c>
      <c r="I165">
        <v>1</v>
      </c>
      <c r="J165" s="2">
        <v>14800</v>
      </c>
      <c r="K165">
        <v>61251006</v>
      </c>
      <c r="L165" t="s">
        <v>845</v>
      </c>
    </row>
    <row r="166" spans="1:12" x14ac:dyDescent="0.35">
      <c r="A166" s="9" t="s">
        <v>200</v>
      </c>
      <c r="B166" s="2">
        <f>EXAMENES[[#This Row],[VALOR_UND]]*EXAMENES[[#This Row],[CANT_A_PAGAR]]</f>
        <v>15000</v>
      </c>
      <c r="C166" t="s">
        <v>848</v>
      </c>
      <c r="D166" t="s">
        <v>6</v>
      </c>
      <c r="E166" t="s">
        <v>770</v>
      </c>
      <c r="F166" t="s">
        <v>770</v>
      </c>
      <c r="G166" s="2">
        <v>15000</v>
      </c>
      <c r="H166" t="s">
        <v>784</v>
      </c>
      <c r="I166">
        <v>1</v>
      </c>
      <c r="J166" s="2">
        <v>15000</v>
      </c>
      <c r="K166">
        <v>61251002</v>
      </c>
      <c r="L166" t="s">
        <v>840</v>
      </c>
    </row>
    <row r="167" spans="1:12" x14ac:dyDescent="0.35">
      <c r="A167" s="9">
        <v>871320</v>
      </c>
      <c r="B167" s="2">
        <f>EXAMENES[[#This Row],[VALOR_UND]]*EXAMENES[[#This Row],[CANT_A_PAGAR]]</f>
        <v>15000</v>
      </c>
      <c r="C167" t="s">
        <v>337</v>
      </c>
      <c r="D167" t="s">
        <v>6</v>
      </c>
      <c r="E167" t="s">
        <v>770</v>
      </c>
      <c r="F167" t="s">
        <v>770</v>
      </c>
      <c r="G167" s="2">
        <v>15000</v>
      </c>
      <c r="H167" t="s">
        <v>784</v>
      </c>
      <c r="I167">
        <v>1</v>
      </c>
      <c r="J167" s="2">
        <v>15000</v>
      </c>
      <c r="K167">
        <v>61251002</v>
      </c>
      <c r="L167" t="s">
        <v>840</v>
      </c>
    </row>
    <row r="168" spans="1:12" x14ac:dyDescent="0.35">
      <c r="A168" s="9">
        <v>872070</v>
      </c>
      <c r="B168" s="2">
        <f>EXAMENES[[#This Row],[VALOR_UND]]*EXAMENES[[#This Row],[CANT_A_PAGAR]]</f>
        <v>0</v>
      </c>
      <c r="C168" t="s">
        <v>345</v>
      </c>
      <c r="D168" t="s">
        <v>6</v>
      </c>
      <c r="E168" t="s">
        <v>770</v>
      </c>
      <c r="F168" t="s">
        <v>770</v>
      </c>
      <c r="G168" s="2">
        <v>0</v>
      </c>
      <c r="H168" t="s">
        <v>784</v>
      </c>
      <c r="I168">
        <v>0</v>
      </c>
      <c r="J168" s="2">
        <v>0</v>
      </c>
      <c r="K168">
        <v>61251002</v>
      </c>
      <c r="L168" t="s">
        <v>840</v>
      </c>
    </row>
    <row r="169" spans="1:12" x14ac:dyDescent="0.35">
      <c r="A169" s="9">
        <v>872101</v>
      </c>
      <c r="B169" s="2">
        <f>EXAMENES[[#This Row],[VALOR_UND]]*EXAMENES[[#This Row],[CANT_A_PAGAR]]</f>
        <v>15000</v>
      </c>
      <c r="C169" t="s">
        <v>347</v>
      </c>
      <c r="D169" t="s">
        <v>6</v>
      </c>
      <c r="E169" t="s">
        <v>770</v>
      </c>
      <c r="F169" t="s">
        <v>770</v>
      </c>
      <c r="G169" s="2">
        <v>15000</v>
      </c>
      <c r="H169" t="s">
        <v>784</v>
      </c>
      <c r="I169">
        <v>1</v>
      </c>
      <c r="J169" s="2">
        <v>15000</v>
      </c>
      <c r="K169">
        <v>61251002</v>
      </c>
      <c r="L169" t="s">
        <v>840</v>
      </c>
    </row>
    <row r="170" spans="1:12" x14ac:dyDescent="0.35">
      <c r="A170" s="9">
        <v>872102</v>
      </c>
      <c r="B170" s="2">
        <f>EXAMENES[[#This Row],[VALOR_UND]]*EXAMENES[[#This Row],[CANT_A_PAGAR]]</f>
        <v>15000</v>
      </c>
      <c r="C170" t="s">
        <v>349</v>
      </c>
      <c r="D170" t="s">
        <v>6</v>
      </c>
      <c r="E170" t="s">
        <v>770</v>
      </c>
      <c r="F170" t="s">
        <v>770</v>
      </c>
      <c r="G170" s="2">
        <v>15000</v>
      </c>
      <c r="H170" t="s">
        <v>784</v>
      </c>
      <c r="I170">
        <v>1</v>
      </c>
      <c r="J170" s="2">
        <v>15000</v>
      </c>
      <c r="K170">
        <v>61251002</v>
      </c>
      <c r="L170" t="s">
        <v>840</v>
      </c>
    </row>
    <row r="171" spans="1:12" x14ac:dyDescent="0.35">
      <c r="A171" s="9">
        <v>872103</v>
      </c>
      <c r="B171" s="2">
        <f>EXAMENES[[#This Row],[VALOR_UND]]*EXAMENES[[#This Row],[CANT_A_PAGAR]]</f>
        <v>15000</v>
      </c>
      <c r="C171" t="s">
        <v>351</v>
      </c>
      <c r="D171" t="s">
        <v>6</v>
      </c>
      <c r="E171" t="s">
        <v>770</v>
      </c>
      <c r="F171" t="s">
        <v>770</v>
      </c>
      <c r="G171" s="2">
        <v>15000</v>
      </c>
      <c r="H171" t="s">
        <v>784</v>
      </c>
      <c r="I171">
        <v>1</v>
      </c>
      <c r="J171" s="2">
        <v>15000</v>
      </c>
      <c r="K171">
        <v>61251002</v>
      </c>
      <c r="L171" t="s">
        <v>840</v>
      </c>
    </row>
    <row r="172" spans="1:12" x14ac:dyDescent="0.35">
      <c r="A172" s="9">
        <v>872104</v>
      </c>
      <c r="B172" s="2">
        <f>EXAMENES[[#This Row],[VALOR_UND]]*EXAMENES[[#This Row],[CANT_A_PAGAR]]</f>
        <v>15000</v>
      </c>
      <c r="C172" t="s">
        <v>353</v>
      </c>
      <c r="D172" t="s">
        <v>6</v>
      </c>
      <c r="E172" t="s">
        <v>770</v>
      </c>
      <c r="F172" t="s">
        <v>770</v>
      </c>
      <c r="G172" s="2">
        <v>15000</v>
      </c>
      <c r="H172" t="s">
        <v>784</v>
      </c>
      <c r="I172">
        <v>1</v>
      </c>
      <c r="J172" s="2">
        <v>15000</v>
      </c>
      <c r="K172">
        <v>61251002</v>
      </c>
      <c r="L172" t="s">
        <v>840</v>
      </c>
    </row>
    <row r="173" spans="1:12" x14ac:dyDescent="0.35">
      <c r="A173" s="9">
        <v>872105</v>
      </c>
      <c r="B173" s="2">
        <f>EXAMENES[[#This Row],[VALOR_UND]]*EXAMENES[[#This Row],[CANT_A_PAGAR]]</f>
        <v>15000</v>
      </c>
      <c r="C173" t="s">
        <v>355</v>
      </c>
      <c r="D173" t="s">
        <v>6</v>
      </c>
      <c r="E173" t="s">
        <v>770</v>
      </c>
      <c r="F173" t="s">
        <v>770</v>
      </c>
      <c r="G173" s="2">
        <v>15000</v>
      </c>
      <c r="H173" t="s">
        <v>784</v>
      </c>
      <c r="I173">
        <v>1</v>
      </c>
      <c r="J173" s="2">
        <v>15000</v>
      </c>
      <c r="K173">
        <v>61251002</v>
      </c>
      <c r="L173" t="s">
        <v>840</v>
      </c>
    </row>
    <row r="174" spans="1:12" x14ac:dyDescent="0.35">
      <c r="A174" s="9">
        <v>872121</v>
      </c>
      <c r="B174" s="2">
        <f>EXAMENES[[#This Row],[VALOR_UND]]*EXAMENES[[#This Row],[CANT_A_PAGAR]]</f>
        <v>15000</v>
      </c>
      <c r="C174" t="s">
        <v>357</v>
      </c>
      <c r="D174" t="s">
        <v>6</v>
      </c>
      <c r="E174" t="s">
        <v>770</v>
      </c>
      <c r="F174" t="s">
        <v>770</v>
      </c>
      <c r="G174" s="2">
        <v>15000</v>
      </c>
      <c r="H174" t="s">
        <v>784</v>
      </c>
      <c r="I174">
        <v>1</v>
      </c>
      <c r="J174" s="2">
        <v>15000</v>
      </c>
      <c r="K174">
        <v>61251002</v>
      </c>
      <c r="L174" t="s">
        <v>840</v>
      </c>
    </row>
    <row r="175" spans="1:12" x14ac:dyDescent="0.35">
      <c r="A175" s="9">
        <v>872122</v>
      </c>
      <c r="B175" s="2">
        <f>EXAMENES[[#This Row],[VALOR_UND]]*EXAMENES[[#This Row],[CANT_A_PAGAR]]</f>
        <v>15000</v>
      </c>
      <c r="C175" t="s">
        <v>359</v>
      </c>
      <c r="D175" t="s">
        <v>6</v>
      </c>
      <c r="E175" t="s">
        <v>770</v>
      </c>
      <c r="F175" t="s">
        <v>770</v>
      </c>
      <c r="G175" s="2">
        <v>15000</v>
      </c>
      <c r="H175" t="s">
        <v>784</v>
      </c>
      <c r="I175">
        <v>1</v>
      </c>
      <c r="J175" s="2">
        <v>15000</v>
      </c>
      <c r="K175">
        <v>61251002</v>
      </c>
      <c r="L175" t="s">
        <v>840</v>
      </c>
    </row>
    <row r="176" spans="1:12" x14ac:dyDescent="0.35">
      <c r="A176" s="9">
        <v>872123</v>
      </c>
      <c r="B176" s="2">
        <f>EXAMENES[[#This Row],[VALOR_UND]]*EXAMENES[[#This Row],[CANT_A_PAGAR]]</f>
        <v>15000</v>
      </c>
      <c r="C176" t="s">
        <v>361</v>
      </c>
      <c r="D176" t="s">
        <v>6</v>
      </c>
      <c r="E176" t="s">
        <v>770</v>
      </c>
      <c r="F176" t="s">
        <v>770</v>
      </c>
      <c r="G176" s="2">
        <v>15000</v>
      </c>
      <c r="H176" t="s">
        <v>784</v>
      </c>
      <c r="I176">
        <v>1</v>
      </c>
      <c r="J176" s="2">
        <v>15000</v>
      </c>
      <c r="K176">
        <v>61251002</v>
      </c>
      <c r="L176" t="s">
        <v>840</v>
      </c>
    </row>
    <row r="177" spans="1:12" x14ac:dyDescent="0.35">
      <c r="A177" s="9">
        <v>872510</v>
      </c>
      <c r="B177" s="2">
        <f>EXAMENES[[#This Row],[VALOR_UND]]*EXAMENES[[#This Row],[CANT_A_PAGAR]]</f>
        <v>15000</v>
      </c>
      <c r="C177" t="s">
        <v>363</v>
      </c>
      <c r="D177" t="s">
        <v>6</v>
      </c>
      <c r="E177" t="s">
        <v>770</v>
      </c>
      <c r="F177" t="s">
        <v>770</v>
      </c>
      <c r="G177" s="2">
        <v>15000</v>
      </c>
      <c r="H177" t="s">
        <v>784</v>
      </c>
      <c r="I177">
        <v>1</v>
      </c>
      <c r="J177" s="2">
        <v>15000</v>
      </c>
      <c r="K177">
        <v>61251002</v>
      </c>
      <c r="L177" t="s">
        <v>840</v>
      </c>
    </row>
    <row r="178" spans="1:12" x14ac:dyDescent="0.35">
      <c r="A178" s="9">
        <v>874910</v>
      </c>
      <c r="B178" s="2">
        <f>EXAMENES[[#This Row],[VALOR_UND]]*EXAMENES[[#This Row],[CANT_A_PAGAR]]</f>
        <v>0</v>
      </c>
      <c r="C178" t="s">
        <v>435</v>
      </c>
      <c r="D178" t="s">
        <v>6</v>
      </c>
      <c r="E178" t="s">
        <v>770</v>
      </c>
      <c r="F178" t="s">
        <v>770</v>
      </c>
      <c r="G178" s="2">
        <v>0</v>
      </c>
      <c r="H178" t="s">
        <v>784</v>
      </c>
      <c r="I178">
        <v>0</v>
      </c>
      <c r="J178" s="2">
        <v>0</v>
      </c>
      <c r="K178">
        <v>61251002</v>
      </c>
      <c r="L178" t="s">
        <v>840</v>
      </c>
    </row>
    <row r="179" spans="1:12" x14ac:dyDescent="0.35">
      <c r="A179" s="9">
        <v>877601</v>
      </c>
      <c r="B179" s="2">
        <f>EXAMENES[[#This Row],[VALOR_UND]]*EXAMENES[[#This Row],[CANT_A_PAGAR]]</f>
        <v>15000</v>
      </c>
      <c r="C179" t="s">
        <v>441</v>
      </c>
      <c r="D179" t="s">
        <v>6</v>
      </c>
      <c r="E179" t="s">
        <v>770</v>
      </c>
      <c r="F179" t="s">
        <v>770</v>
      </c>
      <c r="G179" s="2">
        <v>15000</v>
      </c>
      <c r="H179" t="s">
        <v>784</v>
      </c>
      <c r="I179">
        <v>1</v>
      </c>
      <c r="J179" s="2">
        <v>15000</v>
      </c>
      <c r="K179">
        <v>61251002</v>
      </c>
      <c r="L179" t="s">
        <v>840</v>
      </c>
    </row>
    <row r="180" spans="1:12" x14ac:dyDescent="0.35">
      <c r="A180" s="9">
        <v>877802</v>
      </c>
      <c r="B180" s="2">
        <f>EXAMENES[[#This Row],[VALOR_UND]]*EXAMENES[[#This Row],[CANT_A_PAGAR]]</f>
        <v>15000</v>
      </c>
      <c r="C180" t="s">
        <v>443</v>
      </c>
      <c r="D180" t="s">
        <v>6</v>
      </c>
      <c r="E180" t="s">
        <v>770</v>
      </c>
      <c r="F180" t="s">
        <v>770</v>
      </c>
      <c r="G180" s="2">
        <v>15000</v>
      </c>
      <c r="H180" t="s">
        <v>784</v>
      </c>
      <c r="I180">
        <v>1</v>
      </c>
      <c r="J180" s="2">
        <v>15000</v>
      </c>
      <c r="K180">
        <v>61251002</v>
      </c>
      <c r="L180" t="s">
        <v>840</v>
      </c>
    </row>
    <row r="181" spans="1:12" x14ac:dyDescent="0.35">
      <c r="A181" s="9">
        <v>877851</v>
      </c>
      <c r="B181" s="2">
        <f>EXAMENES[[#This Row],[VALOR_UND]]*EXAMENES[[#This Row],[CANT_A_PAGAR]]</f>
        <v>15000</v>
      </c>
      <c r="C181" t="s">
        <v>445</v>
      </c>
      <c r="D181" t="s">
        <v>6</v>
      </c>
      <c r="E181" t="s">
        <v>770</v>
      </c>
      <c r="F181" t="s">
        <v>770</v>
      </c>
      <c r="G181" s="2">
        <v>15000</v>
      </c>
      <c r="H181" t="s">
        <v>784</v>
      </c>
      <c r="I181">
        <v>1</v>
      </c>
      <c r="J181" s="2">
        <v>15000</v>
      </c>
      <c r="K181">
        <v>61251002</v>
      </c>
      <c r="L181" t="s">
        <v>840</v>
      </c>
    </row>
    <row r="182" spans="1:12" x14ac:dyDescent="0.35">
      <c r="A182" s="9">
        <v>877861</v>
      </c>
      <c r="B182" s="2">
        <f>EXAMENES[[#This Row],[VALOR_UND]]*EXAMENES[[#This Row],[CANT_A_PAGAR]]</f>
        <v>15000</v>
      </c>
      <c r="C182" t="s">
        <v>447</v>
      </c>
      <c r="D182" t="s">
        <v>6</v>
      </c>
      <c r="E182" t="s">
        <v>770</v>
      </c>
      <c r="F182" t="s">
        <v>770</v>
      </c>
      <c r="G182" s="2">
        <v>15000</v>
      </c>
      <c r="H182" t="s">
        <v>784</v>
      </c>
      <c r="I182">
        <v>1</v>
      </c>
      <c r="J182" s="2">
        <v>15000</v>
      </c>
      <c r="K182">
        <v>61251002</v>
      </c>
      <c r="L182" t="s">
        <v>840</v>
      </c>
    </row>
    <row r="183" spans="1:12" x14ac:dyDescent="0.35">
      <c r="A183" s="9">
        <v>877862</v>
      </c>
      <c r="B183" s="2">
        <f>EXAMENES[[#This Row],[VALOR_UND]]*EXAMENES[[#This Row],[CANT_A_PAGAR]]</f>
        <v>15000</v>
      </c>
      <c r="C183" t="s">
        <v>449</v>
      </c>
      <c r="D183" t="s">
        <v>6</v>
      </c>
      <c r="E183" t="s">
        <v>770</v>
      </c>
      <c r="F183" t="s">
        <v>770</v>
      </c>
      <c r="G183" s="2">
        <v>15000</v>
      </c>
      <c r="H183" t="s">
        <v>784</v>
      </c>
      <c r="I183">
        <v>1</v>
      </c>
      <c r="J183" s="2">
        <v>15000</v>
      </c>
      <c r="K183">
        <v>61251002</v>
      </c>
      <c r="L183" t="s">
        <v>840</v>
      </c>
    </row>
    <row r="184" spans="1:12" x14ac:dyDescent="0.35">
      <c r="A184" s="9">
        <v>877863</v>
      </c>
      <c r="B184" s="2">
        <f>EXAMENES[[#This Row],[VALOR_UND]]*EXAMENES[[#This Row],[CANT_A_PAGAR]]</f>
        <v>15000</v>
      </c>
      <c r="C184" t="s">
        <v>451</v>
      </c>
      <c r="D184" t="s">
        <v>6</v>
      </c>
      <c r="E184" t="s">
        <v>770</v>
      </c>
      <c r="F184" t="s">
        <v>770</v>
      </c>
      <c r="G184" s="2">
        <v>15000</v>
      </c>
      <c r="H184" t="s">
        <v>784</v>
      </c>
      <c r="I184">
        <v>1</v>
      </c>
      <c r="J184" s="2">
        <v>15000</v>
      </c>
      <c r="K184">
        <v>61251002</v>
      </c>
      <c r="L184" t="s">
        <v>840</v>
      </c>
    </row>
    <row r="185" spans="1:12" x14ac:dyDescent="0.35">
      <c r="A185" s="9">
        <v>877871</v>
      </c>
      <c r="B185" s="2">
        <f>EXAMENES[[#This Row],[VALOR_UND]]*EXAMENES[[#This Row],[CANT_A_PAGAR]]</f>
        <v>15000</v>
      </c>
      <c r="C185" t="s">
        <v>453</v>
      </c>
      <c r="D185" t="s">
        <v>6</v>
      </c>
      <c r="E185" t="s">
        <v>770</v>
      </c>
      <c r="F185" t="s">
        <v>770</v>
      </c>
      <c r="G185" s="2">
        <v>15000</v>
      </c>
      <c r="H185" t="s">
        <v>784</v>
      </c>
      <c r="I185">
        <v>1</v>
      </c>
      <c r="J185" s="2">
        <v>15000</v>
      </c>
      <c r="K185">
        <v>61251002</v>
      </c>
      <c r="L185" t="s">
        <v>840</v>
      </c>
    </row>
    <row r="186" spans="1:12" s="18" customFormat="1" x14ac:dyDescent="0.35">
      <c r="A186" s="17" t="s">
        <v>0</v>
      </c>
      <c r="B186" s="19">
        <f>EXAMENES[[#This Row],[VALOR_UND]]*EXAMENES[[#This Row],[CANT_A_PAGAR]]</f>
        <v>15000</v>
      </c>
      <c r="C186" s="18" t="s">
        <v>1</v>
      </c>
      <c r="D186" s="23" t="s">
        <v>6</v>
      </c>
      <c r="E186" s="23" t="s">
        <v>770</v>
      </c>
      <c r="F186" s="23" t="s">
        <v>770</v>
      </c>
      <c r="G186" s="19">
        <v>15000</v>
      </c>
      <c r="H186" s="18" t="s">
        <v>785</v>
      </c>
      <c r="I186" s="18">
        <v>1</v>
      </c>
      <c r="J186" s="19">
        <v>15000</v>
      </c>
      <c r="K186" s="18">
        <v>61251001</v>
      </c>
      <c r="L186" s="18" t="s">
        <v>839</v>
      </c>
    </row>
    <row r="187" spans="1:12" x14ac:dyDescent="0.35">
      <c r="A187" s="9" t="s">
        <v>3</v>
      </c>
      <c r="B187" s="2">
        <f>EXAMENES[[#This Row],[VALOR_UND]]*EXAMENES[[#This Row],[CANT_A_PAGAR]]</f>
        <v>2400</v>
      </c>
      <c r="C187" t="s">
        <v>4</v>
      </c>
      <c r="D187" t="s">
        <v>2</v>
      </c>
      <c r="E187" t="s">
        <v>769</v>
      </c>
      <c r="F187" t="s">
        <v>769</v>
      </c>
      <c r="G187" s="2">
        <v>2400</v>
      </c>
      <c r="H187" t="s">
        <v>785</v>
      </c>
      <c r="I187">
        <v>1</v>
      </c>
      <c r="J187" s="2">
        <v>2400</v>
      </c>
      <c r="K187">
        <v>61251001</v>
      </c>
      <c r="L187" t="s">
        <v>839</v>
      </c>
    </row>
    <row r="188" spans="1:12" x14ac:dyDescent="0.35">
      <c r="A188" s="9" t="s">
        <v>7</v>
      </c>
      <c r="B188" s="2">
        <f>EXAMENES[[#This Row],[VALOR_UND]]*EXAMENES[[#This Row],[CANT_A_PAGAR]]</f>
        <v>5800</v>
      </c>
      <c r="C188" t="s">
        <v>8</v>
      </c>
      <c r="D188" t="s">
        <v>2</v>
      </c>
      <c r="E188" t="s">
        <v>769</v>
      </c>
      <c r="F188" t="s">
        <v>769</v>
      </c>
      <c r="G188" s="2">
        <v>5800</v>
      </c>
      <c r="H188" t="s">
        <v>785</v>
      </c>
      <c r="I188">
        <v>1</v>
      </c>
      <c r="J188" s="2">
        <v>5800</v>
      </c>
      <c r="K188">
        <v>61251001</v>
      </c>
      <c r="L188" t="s">
        <v>839</v>
      </c>
    </row>
    <row r="189" spans="1:12" x14ac:dyDescent="0.35">
      <c r="A189" s="9" t="s">
        <v>9</v>
      </c>
      <c r="B189" s="2">
        <f>EXAMENES[[#This Row],[VALOR_UND]]*EXAMENES[[#This Row],[CANT_A_PAGAR]]</f>
        <v>8200</v>
      </c>
      <c r="C189" t="s">
        <v>10</v>
      </c>
      <c r="D189" t="s">
        <v>2</v>
      </c>
      <c r="E189" t="s">
        <v>769</v>
      </c>
      <c r="F189" t="s">
        <v>769</v>
      </c>
      <c r="G189" s="2">
        <v>8200</v>
      </c>
      <c r="H189" t="s">
        <v>785</v>
      </c>
      <c r="I189">
        <v>1</v>
      </c>
      <c r="J189" s="2">
        <v>8200</v>
      </c>
      <c r="K189">
        <v>61251001</v>
      </c>
      <c r="L189" t="s">
        <v>839</v>
      </c>
    </row>
    <row r="190" spans="1:12" x14ac:dyDescent="0.35">
      <c r="A190" s="9" t="s">
        <v>11</v>
      </c>
      <c r="B190" s="2">
        <f>EXAMENES[[#This Row],[VALOR_UND]]*EXAMENES[[#This Row],[CANT_A_PAGAR]]</f>
        <v>8200</v>
      </c>
      <c r="C190" t="s">
        <v>12</v>
      </c>
      <c r="D190" t="s">
        <v>2</v>
      </c>
      <c r="E190" t="s">
        <v>769</v>
      </c>
      <c r="F190" t="s">
        <v>769</v>
      </c>
      <c r="G190" s="2">
        <v>8200</v>
      </c>
      <c r="H190" t="s">
        <v>785</v>
      </c>
      <c r="I190">
        <v>1</v>
      </c>
      <c r="J190" s="2">
        <v>8200</v>
      </c>
      <c r="K190">
        <v>61251001</v>
      </c>
      <c r="L190" t="s">
        <v>839</v>
      </c>
    </row>
    <row r="191" spans="1:12" x14ac:dyDescent="0.35">
      <c r="A191" s="9" t="s">
        <v>13</v>
      </c>
      <c r="B191" s="2">
        <f>EXAMENES[[#This Row],[VALOR_UND]]*EXAMENES[[#This Row],[CANT_A_PAGAR]]</f>
        <v>8200</v>
      </c>
      <c r="C191" t="s">
        <v>14</v>
      </c>
      <c r="D191" t="s">
        <v>2</v>
      </c>
      <c r="E191" t="s">
        <v>769</v>
      </c>
      <c r="F191" t="s">
        <v>769</v>
      </c>
      <c r="G191" s="2">
        <v>8200</v>
      </c>
      <c r="H191" t="s">
        <v>785</v>
      </c>
      <c r="I191">
        <v>1</v>
      </c>
      <c r="J191" s="2">
        <v>8200</v>
      </c>
      <c r="K191">
        <v>61251001</v>
      </c>
      <c r="L191" t="s">
        <v>839</v>
      </c>
    </row>
    <row r="192" spans="1:12" x14ac:dyDescent="0.35">
      <c r="A192" s="9" t="s">
        <v>17</v>
      </c>
      <c r="B192" s="2">
        <f>EXAMENES[[#This Row],[VALOR_UND]]*EXAMENES[[#This Row],[CANT_A_PAGAR]]</f>
        <v>8200</v>
      </c>
      <c r="C192" t="s">
        <v>18</v>
      </c>
      <c r="D192" t="s">
        <v>2</v>
      </c>
      <c r="E192" t="s">
        <v>769</v>
      </c>
      <c r="F192" t="s">
        <v>769</v>
      </c>
      <c r="G192" s="2">
        <v>8200</v>
      </c>
      <c r="H192" t="s">
        <v>785</v>
      </c>
      <c r="I192">
        <v>1</v>
      </c>
      <c r="J192" s="2">
        <v>8200</v>
      </c>
      <c r="K192">
        <v>61251001</v>
      </c>
      <c r="L192" t="s">
        <v>839</v>
      </c>
    </row>
    <row r="193" spans="1:12" x14ac:dyDescent="0.35">
      <c r="A193" s="9" t="s">
        <v>19</v>
      </c>
      <c r="B193" s="2">
        <f>EXAMENES[[#This Row],[VALOR_UND]]*EXAMENES[[#This Row],[CANT_A_PAGAR]]</f>
        <v>8200</v>
      </c>
      <c r="C193" t="s">
        <v>20</v>
      </c>
      <c r="D193" t="s">
        <v>2</v>
      </c>
      <c r="E193" t="s">
        <v>769</v>
      </c>
      <c r="F193" t="s">
        <v>769</v>
      </c>
      <c r="G193" s="2">
        <v>8200</v>
      </c>
      <c r="H193" t="s">
        <v>785</v>
      </c>
      <c r="I193">
        <v>1</v>
      </c>
      <c r="J193" s="2">
        <v>8200</v>
      </c>
      <c r="K193">
        <v>61251001</v>
      </c>
      <c r="L193" t="s">
        <v>839</v>
      </c>
    </row>
    <row r="194" spans="1:12" x14ac:dyDescent="0.35">
      <c r="A194" s="9" t="s">
        <v>21</v>
      </c>
      <c r="B194" s="2">
        <f>EXAMENES[[#This Row],[VALOR_UND]]*EXAMENES[[#This Row],[CANT_A_PAGAR]]</f>
        <v>8200</v>
      </c>
      <c r="C194" t="s">
        <v>22</v>
      </c>
      <c r="D194" t="s">
        <v>2</v>
      </c>
      <c r="E194" t="s">
        <v>769</v>
      </c>
      <c r="F194" t="s">
        <v>769</v>
      </c>
      <c r="G194" s="2">
        <v>8200</v>
      </c>
      <c r="H194" t="s">
        <v>785</v>
      </c>
      <c r="I194">
        <v>1</v>
      </c>
      <c r="J194" s="2">
        <v>8200</v>
      </c>
      <c r="K194">
        <v>61251001</v>
      </c>
      <c r="L194" t="s">
        <v>839</v>
      </c>
    </row>
    <row r="195" spans="1:12" x14ac:dyDescent="0.35">
      <c r="A195" s="9" t="s">
        <v>23</v>
      </c>
      <c r="B195" s="2">
        <f>EXAMENES[[#This Row],[VALOR_UND]]*EXAMENES[[#This Row],[CANT_A_PAGAR]]</f>
        <v>8200</v>
      </c>
      <c r="C195" t="s">
        <v>24</v>
      </c>
      <c r="D195" t="s">
        <v>2</v>
      </c>
      <c r="E195" t="s">
        <v>769</v>
      </c>
      <c r="F195" t="s">
        <v>769</v>
      </c>
      <c r="G195" s="2">
        <v>8200</v>
      </c>
      <c r="H195" t="s">
        <v>785</v>
      </c>
      <c r="I195">
        <v>1</v>
      </c>
      <c r="J195" s="2">
        <v>8200</v>
      </c>
      <c r="K195">
        <v>61251001</v>
      </c>
      <c r="L195" t="s">
        <v>839</v>
      </c>
    </row>
    <row r="196" spans="1:12" x14ac:dyDescent="0.35">
      <c r="A196" s="9" t="s">
        <v>25</v>
      </c>
      <c r="B196" s="2">
        <f>EXAMENES[[#This Row],[VALOR_UND]]*EXAMENES[[#This Row],[CANT_A_PAGAR]]</f>
        <v>8200</v>
      </c>
      <c r="C196" t="s">
        <v>26</v>
      </c>
      <c r="D196" t="s">
        <v>2</v>
      </c>
      <c r="E196" t="s">
        <v>769</v>
      </c>
      <c r="F196" t="s">
        <v>769</v>
      </c>
      <c r="G196" s="2">
        <v>8200</v>
      </c>
      <c r="H196" t="s">
        <v>785</v>
      </c>
      <c r="I196">
        <v>1</v>
      </c>
      <c r="J196" s="2">
        <v>8200</v>
      </c>
      <c r="K196">
        <v>61251001</v>
      </c>
      <c r="L196" t="s">
        <v>839</v>
      </c>
    </row>
    <row r="197" spans="1:12" x14ac:dyDescent="0.35">
      <c r="A197" s="9" t="s">
        <v>27</v>
      </c>
      <c r="B197" s="2">
        <f>EXAMENES[[#This Row],[VALOR_UND]]*EXAMENES[[#This Row],[CANT_A_PAGAR]]</f>
        <v>8200</v>
      </c>
      <c r="C197" t="s">
        <v>28</v>
      </c>
      <c r="D197" t="s">
        <v>2</v>
      </c>
      <c r="E197" t="s">
        <v>769</v>
      </c>
      <c r="F197" t="s">
        <v>769</v>
      </c>
      <c r="G197" s="2">
        <v>8200</v>
      </c>
      <c r="H197" t="s">
        <v>785</v>
      </c>
      <c r="I197">
        <v>1</v>
      </c>
      <c r="J197" s="2">
        <v>8200</v>
      </c>
      <c r="K197">
        <v>61251001</v>
      </c>
      <c r="L197" t="s">
        <v>839</v>
      </c>
    </row>
    <row r="198" spans="1:12" x14ac:dyDescent="0.35">
      <c r="A198" s="9" t="s">
        <v>29</v>
      </c>
      <c r="B198" s="2">
        <f>EXAMENES[[#This Row],[VALOR_UND]]*EXAMENES[[#This Row],[CANT_A_PAGAR]]</f>
        <v>5800</v>
      </c>
      <c r="C198" t="s">
        <v>30</v>
      </c>
      <c r="D198" t="s">
        <v>2</v>
      </c>
      <c r="E198" t="s">
        <v>769</v>
      </c>
      <c r="F198" t="s">
        <v>769</v>
      </c>
      <c r="G198" s="2">
        <v>5800</v>
      </c>
      <c r="H198" t="s">
        <v>785</v>
      </c>
      <c r="I198">
        <v>1</v>
      </c>
      <c r="J198" s="2">
        <v>5800</v>
      </c>
      <c r="K198">
        <v>61251001</v>
      </c>
      <c r="L198" t="s">
        <v>839</v>
      </c>
    </row>
    <row r="199" spans="1:12" x14ac:dyDescent="0.35">
      <c r="A199" s="9" t="s">
        <v>31</v>
      </c>
      <c r="B199" s="2">
        <f>EXAMENES[[#This Row],[VALOR_UND]]*EXAMENES[[#This Row],[CANT_A_PAGAR]]</f>
        <v>8200</v>
      </c>
      <c r="C199" t="s">
        <v>32</v>
      </c>
      <c r="D199" t="s">
        <v>2</v>
      </c>
      <c r="E199" t="s">
        <v>769</v>
      </c>
      <c r="F199" t="s">
        <v>769</v>
      </c>
      <c r="G199" s="2">
        <v>8200</v>
      </c>
      <c r="H199" t="s">
        <v>785</v>
      </c>
      <c r="I199">
        <v>1</v>
      </c>
      <c r="J199" s="2">
        <v>8200</v>
      </c>
      <c r="K199">
        <v>61251001</v>
      </c>
      <c r="L199" t="s">
        <v>839</v>
      </c>
    </row>
    <row r="200" spans="1:12" x14ac:dyDescent="0.35">
      <c r="A200" s="9" t="s">
        <v>33</v>
      </c>
      <c r="B200" s="2">
        <f>EXAMENES[[#This Row],[VALOR_UND]]*EXAMENES[[#This Row],[CANT_A_PAGAR]]</f>
        <v>8200</v>
      </c>
      <c r="C200" t="s">
        <v>34</v>
      </c>
      <c r="D200" t="s">
        <v>2</v>
      </c>
      <c r="E200" t="s">
        <v>769</v>
      </c>
      <c r="F200" t="s">
        <v>769</v>
      </c>
      <c r="G200" s="2">
        <v>8200</v>
      </c>
      <c r="H200" t="s">
        <v>785</v>
      </c>
      <c r="I200">
        <v>1</v>
      </c>
      <c r="J200" s="2">
        <v>8200</v>
      </c>
      <c r="K200">
        <v>61251001</v>
      </c>
      <c r="L200" t="s">
        <v>839</v>
      </c>
    </row>
    <row r="201" spans="1:12" x14ac:dyDescent="0.35">
      <c r="A201" s="9" t="s">
        <v>35</v>
      </c>
      <c r="B201" s="2">
        <f>EXAMENES[[#This Row],[VALOR_UND]]*EXAMENES[[#This Row],[CANT_A_PAGAR]]</f>
        <v>8200</v>
      </c>
      <c r="C201" t="s">
        <v>36</v>
      </c>
      <c r="D201" t="s">
        <v>2</v>
      </c>
      <c r="E201" t="s">
        <v>769</v>
      </c>
      <c r="F201" t="s">
        <v>769</v>
      </c>
      <c r="G201" s="2">
        <v>8200</v>
      </c>
      <c r="H201" t="s">
        <v>785</v>
      </c>
      <c r="I201">
        <v>1</v>
      </c>
      <c r="J201" s="2">
        <v>8200</v>
      </c>
      <c r="K201">
        <v>61251001</v>
      </c>
      <c r="L201" t="s">
        <v>839</v>
      </c>
    </row>
    <row r="202" spans="1:12" x14ac:dyDescent="0.35">
      <c r="A202" s="9" t="s">
        <v>110</v>
      </c>
      <c r="B202" s="2">
        <f>EXAMENES[[#This Row],[VALOR_UND]]*EXAMENES[[#This Row],[CANT_A_PAGAR]]</f>
        <v>2400</v>
      </c>
      <c r="C202" t="s">
        <v>111</v>
      </c>
      <c r="D202" t="s">
        <v>2</v>
      </c>
      <c r="E202" t="s">
        <v>769</v>
      </c>
      <c r="F202" t="s">
        <v>769</v>
      </c>
      <c r="G202" s="2">
        <v>2400</v>
      </c>
      <c r="H202" t="s">
        <v>785</v>
      </c>
      <c r="I202">
        <v>1</v>
      </c>
      <c r="J202" s="2">
        <v>2400</v>
      </c>
      <c r="K202">
        <v>61251001</v>
      </c>
      <c r="L202" t="s">
        <v>839</v>
      </c>
    </row>
    <row r="203" spans="1:12" x14ac:dyDescent="0.35">
      <c r="A203" s="9" t="s">
        <v>112</v>
      </c>
      <c r="B203" s="2">
        <f>EXAMENES[[#This Row],[VALOR_UND]]*EXAMENES[[#This Row],[CANT_A_PAGAR]]</f>
        <v>5800</v>
      </c>
      <c r="C203" t="s">
        <v>113</v>
      </c>
      <c r="D203" t="s">
        <v>2</v>
      </c>
      <c r="E203" t="s">
        <v>769</v>
      </c>
      <c r="F203" t="s">
        <v>769</v>
      </c>
      <c r="G203" s="2">
        <v>5800</v>
      </c>
      <c r="H203" t="s">
        <v>785</v>
      </c>
      <c r="I203">
        <v>1</v>
      </c>
      <c r="J203" s="2">
        <v>5800</v>
      </c>
      <c r="K203">
        <v>61251001</v>
      </c>
      <c r="L203" t="s">
        <v>839</v>
      </c>
    </row>
    <row r="204" spans="1:12" x14ac:dyDescent="0.35">
      <c r="A204" s="9" t="s">
        <v>114</v>
      </c>
      <c r="B204" s="2">
        <f>EXAMENES[[#This Row],[VALOR_UND]]*EXAMENES[[#This Row],[CANT_A_PAGAR]]</f>
        <v>5800</v>
      </c>
      <c r="C204" t="s">
        <v>115</v>
      </c>
      <c r="D204" t="s">
        <v>2</v>
      </c>
      <c r="E204" t="s">
        <v>769</v>
      </c>
      <c r="F204" t="s">
        <v>769</v>
      </c>
      <c r="G204" s="2">
        <v>5800</v>
      </c>
      <c r="H204" t="s">
        <v>785</v>
      </c>
      <c r="I204">
        <v>1</v>
      </c>
      <c r="J204" s="2">
        <v>5800</v>
      </c>
      <c r="K204">
        <v>61251001</v>
      </c>
      <c r="L204" t="s">
        <v>839</v>
      </c>
    </row>
    <row r="205" spans="1:12" x14ac:dyDescent="0.35">
      <c r="A205" s="9" t="s">
        <v>116</v>
      </c>
      <c r="B205" s="2">
        <f>EXAMENES[[#This Row],[VALOR_UND]]*EXAMENES[[#This Row],[CANT_A_PAGAR]]</f>
        <v>8200</v>
      </c>
      <c r="C205" t="s">
        <v>117</v>
      </c>
      <c r="D205" t="s">
        <v>2</v>
      </c>
      <c r="E205" t="s">
        <v>769</v>
      </c>
      <c r="F205" t="s">
        <v>769</v>
      </c>
      <c r="G205" s="2">
        <v>8200</v>
      </c>
      <c r="H205" t="s">
        <v>785</v>
      </c>
      <c r="I205">
        <v>1</v>
      </c>
      <c r="J205" s="2">
        <v>8200</v>
      </c>
      <c r="K205">
        <v>61251001</v>
      </c>
      <c r="L205" t="s">
        <v>839</v>
      </c>
    </row>
    <row r="206" spans="1:12" x14ac:dyDescent="0.35">
      <c r="A206" s="9" t="s">
        <v>136</v>
      </c>
      <c r="B206" s="2">
        <f>EXAMENES[[#This Row],[VALOR_UND]]*EXAMENES[[#This Row],[CANT_A_PAGAR]]</f>
        <v>8200</v>
      </c>
      <c r="C206" t="s">
        <v>137</v>
      </c>
      <c r="D206" t="s">
        <v>2</v>
      </c>
      <c r="E206" t="s">
        <v>769</v>
      </c>
      <c r="F206" t="s">
        <v>769</v>
      </c>
      <c r="G206" s="2">
        <v>8200</v>
      </c>
      <c r="H206" t="s">
        <v>785</v>
      </c>
      <c r="I206">
        <v>1</v>
      </c>
      <c r="J206" s="2">
        <v>8200</v>
      </c>
      <c r="K206">
        <v>61251001</v>
      </c>
      <c r="L206" t="s">
        <v>839</v>
      </c>
    </row>
    <row r="207" spans="1:12" x14ac:dyDescent="0.35">
      <c r="A207" s="9" t="s">
        <v>148</v>
      </c>
      <c r="B207" s="2">
        <f>EXAMENES[[#This Row],[VALOR_UND]]*EXAMENES[[#This Row],[CANT_A_PAGAR]]</f>
        <v>5800</v>
      </c>
      <c r="C207" t="s">
        <v>149</v>
      </c>
      <c r="D207" t="s">
        <v>2</v>
      </c>
      <c r="E207" t="s">
        <v>769</v>
      </c>
      <c r="F207" t="s">
        <v>769</v>
      </c>
      <c r="G207" s="2">
        <v>5800</v>
      </c>
      <c r="H207" t="s">
        <v>785</v>
      </c>
      <c r="I207">
        <v>1</v>
      </c>
      <c r="J207" s="2">
        <v>5800</v>
      </c>
      <c r="K207">
        <v>61251001</v>
      </c>
      <c r="L207" t="s">
        <v>839</v>
      </c>
    </row>
    <row r="208" spans="1:12" x14ac:dyDescent="0.35">
      <c r="A208" s="9">
        <v>212701</v>
      </c>
      <c r="B208" s="2">
        <f>EXAMENES[[#This Row],[VALOR_UND]]*EXAMENES[[#This Row],[CANT_A_PAGAR]]</f>
        <v>0</v>
      </c>
      <c r="C208" t="s">
        <v>228</v>
      </c>
      <c r="D208" t="s">
        <v>2</v>
      </c>
      <c r="E208" t="s">
        <v>769</v>
      </c>
      <c r="F208" t="s">
        <v>769</v>
      </c>
      <c r="G208" s="2">
        <v>0</v>
      </c>
      <c r="H208" t="s">
        <v>785</v>
      </c>
      <c r="I208">
        <v>0</v>
      </c>
      <c r="J208" s="2">
        <v>0</v>
      </c>
      <c r="K208">
        <v>61251001</v>
      </c>
      <c r="L208" t="s">
        <v>839</v>
      </c>
    </row>
    <row r="209" spans="1:12" x14ac:dyDescent="0.35">
      <c r="A209" s="9">
        <v>870001</v>
      </c>
      <c r="B209" s="2">
        <f>EXAMENES[[#This Row],[VALOR_UND]]*EXAMENES[[#This Row],[CANT_A_PAGAR]]</f>
        <v>5800</v>
      </c>
      <c r="C209" t="s">
        <v>267</v>
      </c>
      <c r="D209" t="s">
        <v>2</v>
      </c>
      <c r="E209" t="s">
        <v>769</v>
      </c>
      <c r="F209" t="s">
        <v>769</v>
      </c>
      <c r="G209" s="2">
        <v>5800</v>
      </c>
      <c r="H209" t="s">
        <v>785</v>
      </c>
      <c r="I209">
        <v>1</v>
      </c>
      <c r="J209" s="2">
        <v>5800</v>
      </c>
      <c r="K209">
        <v>61251001</v>
      </c>
      <c r="L209" t="s">
        <v>839</v>
      </c>
    </row>
    <row r="210" spans="1:12" x14ac:dyDescent="0.35">
      <c r="A210" s="9">
        <v>870003</v>
      </c>
      <c r="B210" s="2">
        <f>EXAMENES[[#This Row],[VALOR_UND]]*EXAMENES[[#This Row],[CANT_A_PAGAR]]</f>
        <v>5800</v>
      </c>
      <c r="C210" t="s">
        <v>269</v>
      </c>
      <c r="D210" t="s">
        <v>2</v>
      </c>
      <c r="E210" t="s">
        <v>769</v>
      </c>
      <c r="F210" t="s">
        <v>769</v>
      </c>
      <c r="G210" s="2">
        <v>5800</v>
      </c>
      <c r="H210" t="s">
        <v>785</v>
      </c>
      <c r="I210">
        <v>1</v>
      </c>
      <c r="J210" s="2">
        <v>5800</v>
      </c>
      <c r="K210">
        <v>61251001</v>
      </c>
      <c r="L210" t="s">
        <v>839</v>
      </c>
    </row>
    <row r="211" spans="1:12" x14ac:dyDescent="0.35">
      <c r="A211" s="9">
        <v>870004</v>
      </c>
      <c r="B211" s="2">
        <f>EXAMENES[[#This Row],[VALOR_UND]]*EXAMENES[[#This Row],[CANT_A_PAGAR]]</f>
        <v>5800</v>
      </c>
      <c r="C211" t="s">
        <v>271</v>
      </c>
      <c r="D211" t="s">
        <v>2</v>
      </c>
      <c r="E211" t="s">
        <v>769</v>
      </c>
      <c r="F211" t="s">
        <v>769</v>
      </c>
      <c r="G211" s="2">
        <v>5800</v>
      </c>
      <c r="H211" t="s">
        <v>785</v>
      </c>
      <c r="I211">
        <v>1</v>
      </c>
      <c r="J211" s="2">
        <v>5800</v>
      </c>
      <c r="K211">
        <v>61251001</v>
      </c>
      <c r="L211" t="s">
        <v>839</v>
      </c>
    </row>
    <row r="212" spans="1:12" x14ac:dyDescent="0.35">
      <c r="A212" s="9">
        <v>870005</v>
      </c>
      <c r="B212" s="2">
        <f>EXAMENES[[#This Row],[VALOR_UND]]*EXAMENES[[#This Row],[CANT_A_PAGAR]]</f>
        <v>8200</v>
      </c>
      <c r="C212" t="s">
        <v>273</v>
      </c>
      <c r="D212" t="s">
        <v>2</v>
      </c>
      <c r="E212" t="s">
        <v>769</v>
      </c>
      <c r="F212" t="s">
        <v>769</v>
      </c>
      <c r="G212" s="2">
        <v>8200</v>
      </c>
      <c r="H212" t="s">
        <v>785</v>
      </c>
      <c r="I212">
        <v>1</v>
      </c>
      <c r="J212" s="2">
        <v>8200</v>
      </c>
      <c r="K212">
        <v>61251001</v>
      </c>
      <c r="L212" t="s">
        <v>839</v>
      </c>
    </row>
    <row r="213" spans="1:12" x14ac:dyDescent="0.35">
      <c r="A213" s="9">
        <v>870006</v>
      </c>
      <c r="B213" s="2">
        <f>EXAMENES[[#This Row],[VALOR_UND]]*EXAMENES[[#This Row],[CANT_A_PAGAR]]</f>
        <v>5800</v>
      </c>
      <c r="C213" t="s">
        <v>275</v>
      </c>
      <c r="D213" t="s">
        <v>2</v>
      </c>
      <c r="E213" t="s">
        <v>769</v>
      </c>
      <c r="F213" t="s">
        <v>769</v>
      </c>
      <c r="G213" s="2">
        <v>5800</v>
      </c>
      <c r="H213" t="s">
        <v>785</v>
      </c>
      <c r="I213">
        <v>1</v>
      </c>
      <c r="J213" s="2">
        <v>5800</v>
      </c>
      <c r="K213">
        <v>61251001</v>
      </c>
      <c r="L213" t="s">
        <v>839</v>
      </c>
    </row>
    <row r="214" spans="1:12" x14ac:dyDescent="0.35">
      <c r="A214" s="9">
        <v>870007</v>
      </c>
      <c r="B214" s="2">
        <f>EXAMENES[[#This Row],[VALOR_UND]]*EXAMENES[[#This Row],[CANT_A_PAGAR]]</f>
        <v>5800</v>
      </c>
      <c r="C214" t="s">
        <v>277</v>
      </c>
      <c r="D214" t="s">
        <v>2</v>
      </c>
      <c r="E214" t="s">
        <v>769</v>
      </c>
      <c r="F214" t="s">
        <v>769</v>
      </c>
      <c r="G214" s="2">
        <v>5800</v>
      </c>
      <c r="H214" t="s">
        <v>785</v>
      </c>
      <c r="I214">
        <v>1</v>
      </c>
      <c r="J214" s="2">
        <v>5800</v>
      </c>
      <c r="K214">
        <v>61251001</v>
      </c>
      <c r="L214" t="s">
        <v>839</v>
      </c>
    </row>
    <row r="215" spans="1:12" x14ac:dyDescent="0.35">
      <c r="A215" s="9">
        <v>870101</v>
      </c>
      <c r="B215" s="2">
        <f>EXAMENES[[#This Row],[VALOR_UND]]*EXAMENES[[#This Row],[CANT_A_PAGAR]]</f>
        <v>5800</v>
      </c>
      <c r="C215" t="s">
        <v>279</v>
      </c>
      <c r="D215" t="s">
        <v>2</v>
      </c>
      <c r="E215" t="s">
        <v>769</v>
      </c>
      <c r="F215" t="s">
        <v>769</v>
      </c>
      <c r="G215" s="2">
        <v>5800</v>
      </c>
      <c r="H215" t="s">
        <v>785</v>
      </c>
      <c r="I215">
        <v>1</v>
      </c>
      <c r="J215" s="2">
        <v>5800</v>
      </c>
      <c r="K215">
        <v>61251001</v>
      </c>
      <c r="L215" t="s">
        <v>839</v>
      </c>
    </row>
    <row r="216" spans="1:12" x14ac:dyDescent="0.35">
      <c r="A216" s="9">
        <v>870102</v>
      </c>
      <c r="B216" s="2">
        <f>EXAMENES[[#This Row],[VALOR_UND]]*EXAMENES[[#This Row],[CANT_A_PAGAR]]</f>
        <v>5800</v>
      </c>
      <c r="C216" t="s">
        <v>281</v>
      </c>
      <c r="D216" t="s">
        <v>2</v>
      </c>
      <c r="E216" t="s">
        <v>769</v>
      </c>
      <c r="F216" t="s">
        <v>769</v>
      </c>
      <c r="G216" s="2">
        <v>5800</v>
      </c>
      <c r="H216" t="s">
        <v>785</v>
      </c>
      <c r="I216">
        <v>1</v>
      </c>
      <c r="J216" s="2">
        <v>5800</v>
      </c>
      <c r="K216">
        <v>61251001</v>
      </c>
      <c r="L216" t="s">
        <v>839</v>
      </c>
    </row>
    <row r="217" spans="1:12" x14ac:dyDescent="0.35">
      <c r="A217" s="9">
        <v>870103</v>
      </c>
      <c r="B217" s="2">
        <f>EXAMENES[[#This Row],[VALOR_UND]]*EXAMENES[[#This Row],[CANT_A_PAGAR]]</f>
        <v>5800</v>
      </c>
      <c r="C217" t="s">
        <v>283</v>
      </c>
      <c r="D217" t="s">
        <v>2</v>
      </c>
      <c r="E217" t="s">
        <v>769</v>
      </c>
      <c r="F217" t="s">
        <v>769</v>
      </c>
      <c r="G217" s="2">
        <v>5800</v>
      </c>
      <c r="H217" t="s">
        <v>785</v>
      </c>
      <c r="I217">
        <v>1</v>
      </c>
      <c r="J217" s="2">
        <v>5800</v>
      </c>
      <c r="K217">
        <v>61251001</v>
      </c>
      <c r="L217" t="s">
        <v>839</v>
      </c>
    </row>
    <row r="218" spans="1:12" x14ac:dyDescent="0.35">
      <c r="A218" s="9">
        <v>870104</v>
      </c>
      <c r="B218" s="2">
        <f>EXAMENES[[#This Row],[VALOR_UND]]*EXAMENES[[#This Row],[CANT_A_PAGAR]]</f>
        <v>5800</v>
      </c>
      <c r="C218" t="s">
        <v>285</v>
      </c>
      <c r="D218" t="s">
        <v>2</v>
      </c>
      <c r="E218" t="s">
        <v>769</v>
      </c>
      <c r="F218" t="s">
        <v>769</v>
      </c>
      <c r="G218" s="2">
        <v>5800</v>
      </c>
      <c r="H218" t="s">
        <v>785</v>
      </c>
      <c r="I218">
        <v>1</v>
      </c>
      <c r="J218" s="2">
        <v>5800</v>
      </c>
      <c r="K218">
        <v>61251001</v>
      </c>
      <c r="L218" t="s">
        <v>839</v>
      </c>
    </row>
    <row r="219" spans="1:12" x14ac:dyDescent="0.35">
      <c r="A219" s="9">
        <v>870105</v>
      </c>
      <c r="B219" s="2">
        <f>EXAMENES[[#This Row],[VALOR_UND]]*EXAMENES[[#This Row],[CANT_A_PAGAR]]</f>
        <v>5800</v>
      </c>
      <c r="C219" t="s">
        <v>287</v>
      </c>
      <c r="D219" t="s">
        <v>2</v>
      </c>
      <c r="E219" t="s">
        <v>769</v>
      </c>
      <c r="F219" t="s">
        <v>769</v>
      </c>
      <c r="G219" s="2">
        <v>5800</v>
      </c>
      <c r="H219" t="s">
        <v>785</v>
      </c>
      <c r="I219">
        <v>1</v>
      </c>
      <c r="J219" s="2">
        <v>5800</v>
      </c>
      <c r="K219">
        <v>61251001</v>
      </c>
      <c r="L219" t="s">
        <v>839</v>
      </c>
    </row>
    <row r="220" spans="1:12" x14ac:dyDescent="0.35">
      <c r="A220" s="9">
        <v>870107</v>
      </c>
      <c r="B220" s="2">
        <f>EXAMENES[[#This Row],[VALOR_UND]]*EXAMENES[[#This Row],[CANT_A_PAGAR]]</f>
        <v>5800</v>
      </c>
      <c r="C220" t="s">
        <v>289</v>
      </c>
      <c r="D220" t="s">
        <v>2</v>
      </c>
      <c r="E220" t="s">
        <v>769</v>
      </c>
      <c r="F220" t="s">
        <v>769</v>
      </c>
      <c r="G220" s="2">
        <v>5800</v>
      </c>
      <c r="H220" t="s">
        <v>785</v>
      </c>
      <c r="I220">
        <v>1</v>
      </c>
      <c r="J220" s="2">
        <v>5800</v>
      </c>
      <c r="K220">
        <v>61251001</v>
      </c>
      <c r="L220" t="s">
        <v>839</v>
      </c>
    </row>
    <row r="221" spans="1:12" x14ac:dyDescent="0.35">
      <c r="A221" s="9">
        <v>870108</v>
      </c>
      <c r="B221" s="2">
        <f>EXAMENES[[#This Row],[VALOR_UND]]*EXAMENES[[#This Row],[CANT_A_PAGAR]]</f>
        <v>5800</v>
      </c>
      <c r="C221" t="s">
        <v>291</v>
      </c>
      <c r="D221" t="s">
        <v>2</v>
      </c>
      <c r="E221" t="s">
        <v>769</v>
      </c>
      <c r="F221" t="s">
        <v>769</v>
      </c>
      <c r="G221" s="2">
        <v>5800</v>
      </c>
      <c r="H221" t="s">
        <v>785</v>
      </c>
      <c r="I221">
        <v>1</v>
      </c>
      <c r="J221" s="2">
        <v>5800</v>
      </c>
      <c r="K221">
        <v>61251001</v>
      </c>
      <c r="L221" t="s">
        <v>839</v>
      </c>
    </row>
    <row r="222" spans="1:12" x14ac:dyDescent="0.35">
      <c r="A222" s="9">
        <v>870112</v>
      </c>
      <c r="B222" s="2">
        <f>EXAMENES[[#This Row],[VALOR_UND]]*EXAMENES[[#This Row],[CANT_A_PAGAR]]</f>
        <v>5800</v>
      </c>
      <c r="C222" t="s">
        <v>293</v>
      </c>
      <c r="D222" t="s">
        <v>2</v>
      </c>
      <c r="E222" t="s">
        <v>769</v>
      </c>
      <c r="F222" t="s">
        <v>769</v>
      </c>
      <c r="G222" s="2">
        <v>5800</v>
      </c>
      <c r="H222" t="s">
        <v>785</v>
      </c>
      <c r="I222">
        <v>1</v>
      </c>
      <c r="J222" s="2">
        <v>5800</v>
      </c>
      <c r="K222">
        <v>61251001</v>
      </c>
      <c r="L222" t="s">
        <v>839</v>
      </c>
    </row>
    <row r="223" spans="1:12" x14ac:dyDescent="0.35">
      <c r="A223" s="9">
        <v>870113</v>
      </c>
      <c r="B223" s="2">
        <f>EXAMENES[[#This Row],[VALOR_UND]]*EXAMENES[[#This Row],[CANT_A_PAGAR]]</f>
        <v>5800</v>
      </c>
      <c r="C223" t="s">
        <v>295</v>
      </c>
      <c r="D223" t="s">
        <v>2</v>
      </c>
      <c r="E223" t="s">
        <v>769</v>
      </c>
      <c r="F223" t="s">
        <v>769</v>
      </c>
      <c r="G223" s="2">
        <v>5800</v>
      </c>
      <c r="H223" t="s">
        <v>785</v>
      </c>
      <c r="I223">
        <v>1</v>
      </c>
      <c r="J223" s="2">
        <v>5800</v>
      </c>
      <c r="K223">
        <v>61251001</v>
      </c>
      <c r="L223" t="s">
        <v>839</v>
      </c>
    </row>
    <row r="224" spans="1:12" x14ac:dyDescent="0.35">
      <c r="A224" s="9">
        <v>870131</v>
      </c>
      <c r="B224" s="2">
        <f>EXAMENES[[#This Row],[VALOR_UND]]*EXAMENES[[#This Row],[CANT_A_PAGAR]]</f>
        <v>5800</v>
      </c>
      <c r="C224" t="s">
        <v>297</v>
      </c>
      <c r="D224" t="s">
        <v>2</v>
      </c>
      <c r="E224" t="s">
        <v>769</v>
      </c>
      <c r="F224" t="s">
        <v>769</v>
      </c>
      <c r="G224" s="2">
        <v>5800</v>
      </c>
      <c r="H224" t="s">
        <v>785</v>
      </c>
      <c r="I224">
        <v>1</v>
      </c>
      <c r="J224" s="2">
        <v>5800</v>
      </c>
      <c r="K224">
        <v>61251001</v>
      </c>
      <c r="L224" t="s">
        <v>839</v>
      </c>
    </row>
    <row r="225" spans="1:12" x14ac:dyDescent="0.35">
      <c r="A225" s="9">
        <v>870601</v>
      </c>
      <c r="B225" s="2">
        <f>EXAMENES[[#This Row],[VALOR_UND]]*EXAMENES[[#This Row],[CANT_A_PAGAR]]</f>
        <v>5800</v>
      </c>
      <c r="C225" t="s">
        <v>299</v>
      </c>
      <c r="D225" t="s">
        <v>2</v>
      </c>
      <c r="E225" t="s">
        <v>769</v>
      </c>
      <c r="F225" t="s">
        <v>769</v>
      </c>
      <c r="G225" s="2">
        <v>5800</v>
      </c>
      <c r="H225" t="s">
        <v>785</v>
      </c>
      <c r="I225">
        <v>1</v>
      </c>
      <c r="J225" s="2">
        <v>5800</v>
      </c>
      <c r="K225">
        <v>61251001</v>
      </c>
      <c r="L225" t="s">
        <v>839</v>
      </c>
    </row>
    <row r="226" spans="1:12" s="18" customFormat="1" x14ac:dyDescent="0.35">
      <c r="A226" s="17">
        <v>870602</v>
      </c>
      <c r="B226" s="19">
        <f>EXAMENES[[#This Row],[VALOR_UND]]*EXAMENES[[#This Row],[CANT_A_PAGAR]]</f>
        <v>15000</v>
      </c>
      <c r="C226" s="18" t="s">
        <v>301</v>
      </c>
      <c r="D226" s="23" t="s">
        <v>6</v>
      </c>
      <c r="E226" s="23" t="s">
        <v>770</v>
      </c>
      <c r="F226" s="23" t="s">
        <v>770</v>
      </c>
      <c r="G226" s="19">
        <v>15000</v>
      </c>
      <c r="H226" s="18" t="s">
        <v>785</v>
      </c>
      <c r="I226" s="18">
        <v>1</v>
      </c>
      <c r="J226" s="19">
        <v>15000</v>
      </c>
      <c r="K226" s="18">
        <v>61251001</v>
      </c>
      <c r="L226" s="18" t="s">
        <v>839</v>
      </c>
    </row>
    <row r="227" spans="1:12" x14ac:dyDescent="0.35">
      <c r="A227" s="9">
        <v>871010</v>
      </c>
      <c r="B227" s="2">
        <f>EXAMENES[[#This Row],[VALOR_UND]]*EXAMENES[[#This Row],[CANT_A_PAGAR]]</f>
        <v>5800</v>
      </c>
      <c r="C227" t="s">
        <v>303</v>
      </c>
      <c r="D227" t="s">
        <v>2</v>
      </c>
      <c r="E227" t="s">
        <v>769</v>
      </c>
      <c r="F227" t="s">
        <v>769</v>
      </c>
      <c r="G227" s="2">
        <v>5800</v>
      </c>
      <c r="H227" t="s">
        <v>785</v>
      </c>
      <c r="I227">
        <v>1</v>
      </c>
      <c r="J227" s="2">
        <v>5800</v>
      </c>
      <c r="K227">
        <v>61251001</v>
      </c>
      <c r="L227" t="s">
        <v>839</v>
      </c>
    </row>
    <row r="228" spans="1:12" x14ac:dyDescent="0.35">
      <c r="A228" s="9">
        <v>871019</v>
      </c>
      <c r="B228" s="2">
        <f>EXAMENES[[#This Row],[VALOR_UND]]*EXAMENES[[#This Row],[CANT_A_PAGAR]]</f>
        <v>5800</v>
      </c>
      <c r="C228" t="s">
        <v>305</v>
      </c>
      <c r="D228" t="s">
        <v>2</v>
      </c>
      <c r="E228" t="s">
        <v>769</v>
      </c>
      <c r="F228" t="s">
        <v>769</v>
      </c>
      <c r="G228" s="2">
        <v>5800</v>
      </c>
      <c r="H228" t="s">
        <v>785</v>
      </c>
      <c r="I228">
        <v>1</v>
      </c>
      <c r="J228" s="2">
        <v>5800</v>
      </c>
      <c r="K228">
        <v>61251001</v>
      </c>
      <c r="L228" t="s">
        <v>839</v>
      </c>
    </row>
    <row r="229" spans="1:12" x14ac:dyDescent="0.35">
      <c r="A229" s="9">
        <v>871020</v>
      </c>
      <c r="B229" s="2">
        <f>EXAMENES[[#This Row],[VALOR_UND]]*EXAMENES[[#This Row],[CANT_A_PAGAR]]</f>
        <v>5800</v>
      </c>
      <c r="C229" t="s">
        <v>307</v>
      </c>
      <c r="D229" t="s">
        <v>2</v>
      </c>
      <c r="E229" t="s">
        <v>769</v>
      </c>
      <c r="F229" t="s">
        <v>769</v>
      </c>
      <c r="G229" s="2">
        <v>5800</v>
      </c>
      <c r="H229" t="s">
        <v>785</v>
      </c>
      <c r="I229">
        <v>1</v>
      </c>
      <c r="J229" s="2">
        <v>5800</v>
      </c>
      <c r="K229">
        <v>61251001</v>
      </c>
      <c r="L229" t="s">
        <v>839</v>
      </c>
    </row>
    <row r="230" spans="1:12" x14ac:dyDescent="0.35">
      <c r="A230" s="9">
        <v>871030</v>
      </c>
      <c r="B230" s="2">
        <f>EXAMENES[[#This Row],[VALOR_UND]]*EXAMENES[[#This Row],[CANT_A_PAGAR]]</f>
        <v>11600</v>
      </c>
      <c r="C230" t="s">
        <v>309</v>
      </c>
      <c r="D230" t="s">
        <v>2</v>
      </c>
      <c r="E230" t="s">
        <v>769</v>
      </c>
      <c r="F230" t="s">
        <v>769</v>
      </c>
      <c r="G230" s="2">
        <v>5800</v>
      </c>
      <c r="H230" t="s">
        <v>785</v>
      </c>
      <c r="I230">
        <v>2</v>
      </c>
      <c r="J230" s="2">
        <v>5800</v>
      </c>
      <c r="K230">
        <v>61251001</v>
      </c>
      <c r="L230" t="s">
        <v>839</v>
      </c>
    </row>
    <row r="231" spans="1:12" x14ac:dyDescent="0.35">
      <c r="A231" s="9">
        <v>871040</v>
      </c>
      <c r="B231" s="2">
        <f>EXAMENES[[#This Row],[VALOR_UND]]*EXAMENES[[#This Row],[CANT_A_PAGAR]]</f>
        <v>5800</v>
      </c>
      <c r="C231" t="s">
        <v>311</v>
      </c>
      <c r="D231" t="s">
        <v>2</v>
      </c>
      <c r="E231" t="s">
        <v>769</v>
      </c>
      <c r="F231" t="s">
        <v>769</v>
      </c>
      <c r="G231" s="2">
        <v>5800</v>
      </c>
      <c r="H231" t="s">
        <v>785</v>
      </c>
      <c r="I231">
        <v>1</v>
      </c>
      <c r="J231" s="2">
        <v>5800</v>
      </c>
      <c r="K231">
        <v>61251001</v>
      </c>
      <c r="L231" t="s">
        <v>839</v>
      </c>
    </row>
    <row r="232" spans="1:12" x14ac:dyDescent="0.35">
      <c r="A232" s="9">
        <v>871044</v>
      </c>
      <c r="B232" s="2">
        <f>EXAMENES[[#This Row],[VALOR_UND]]*EXAMENES[[#This Row],[CANT_A_PAGAR]]</f>
        <v>14000</v>
      </c>
      <c r="C232" t="s">
        <v>313</v>
      </c>
      <c r="D232" t="s">
        <v>2</v>
      </c>
      <c r="E232" t="s">
        <v>769</v>
      </c>
      <c r="F232" t="s">
        <v>769</v>
      </c>
      <c r="G232" s="2">
        <v>14000</v>
      </c>
      <c r="H232" t="s">
        <v>785</v>
      </c>
      <c r="I232">
        <v>1</v>
      </c>
      <c r="J232" s="2">
        <v>14000</v>
      </c>
      <c r="K232">
        <v>61251001</v>
      </c>
      <c r="L232" t="s">
        <v>839</v>
      </c>
    </row>
    <row r="233" spans="1:12" x14ac:dyDescent="0.35">
      <c r="A233" s="9">
        <v>871050</v>
      </c>
      <c r="B233" s="2">
        <f>EXAMENES[[#This Row],[VALOR_UND]]*EXAMENES[[#This Row],[CANT_A_PAGAR]]</f>
        <v>5800</v>
      </c>
      <c r="C233" t="s">
        <v>315</v>
      </c>
      <c r="D233" t="s">
        <v>2</v>
      </c>
      <c r="E233" t="s">
        <v>769</v>
      </c>
      <c r="F233" t="s">
        <v>769</v>
      </c>
      <c r="G233" s="2">
        <v>5800</v>
      </c>
      <c r="H233" t="s">
        <v>785</v>
      </c>
      <c r="I233">
        <v>1</v>
      </c>
      <c r="J233" s="2">
        <v>5800</v>
      </c>
      <c r="K233">
        <v>61251001</v>
      </c>
      <c r="L233" t="s">
        <v>839</v>
      </c>
    </row>
    <row r="234" spans="1:12" s="18" customFormat="1" x14ac:dyDescent="0.35">
      <c r="A234" s="17">
        <v>871060</v>
      </c>
      <c r="B234" s="19">
        <f>EXAMENES[[#This Row],[VALOR_UND]]*EXAMENES[[#This Row],[CANT_A_PAGAR]]</f>
        <v>15000</v>
      </c>
      <c r="C234" s="18" t="s">
        <v>317</v>
      </c>
      <c r="D234" s="23" t="s">
        <v>6</v>
      </c>
      <c r="E234" s="23" t="s">
        <v>770</v>
      </c>
      <c r="F234" s="23" t="s">
        <v>770</v>
      </c>
      <c r="G234" s="19">
        <v>15000</v>
      </c>
      <c r="H234" s="18" t="s">
        <v>785</v>
      </c>
      <c r="I234" s="18">
        <v>1</v>
      </c>
      <c r="J234" s="19">
        <v>15000</v>
      </c>
      <c r="K234" s="18">
        <v>61251001</v>
      </c>
      <c r="L234" s="18" t="s">
        <v>839</v>
      </c>
    </row>
    <row r="235" spans="1:12" x14ac:dyDescent="0.35">
      <c r="A235" s="9">
        <v>871061</v>
      </c>
      <c r="B235" s="2">
        <f>EXAMENES[[#This Row],[VALOR_UND]]*EXAMENES[[#This Row],[CANT_A_PAGAR]]</f>
        <v>5800</v>
      </c>
      <c r="C235" t="s">
        <v>319</v>
      </c>
      <c r="D235" t="s">
        <v>2</v>
      </c>
      <c r="E235" t="s">
        <v>769</v>
      </c>
      <c r="F235" t="s">
        <v>769</v>
      </c>
      <c r="G235" s="2">
        <v>5800</v>
      </c>
      <c r="H235" t="s">
        <v>785</v>
      </c>
      <c r="I235">
        <v>1</v>
      </c>
      <c r="J235" s="2">
        <v>5800</v>
      </c>
      <c r="K235">
        <v>61251001</v>
      </c>
      <c r="L235" t="s">
        <v>839</v>
      </c>
    </row>
    <row r="236" spans="1:12" x14ac:dyDescent="0.35">
      <c r="A236" s="9">
        <v>871070</v>
      </c>
      <c r="B236" s="2">
        <f>EXAMENES[[#This Row],[VALOR_UND]]*EXAMENES[[#This Row],[CANT_A_PAGAR]]</f>
        <v>5800</v>
      </c>
      <c r="C236" t="s">
        <v>321</v>
      </c>
      <c r="D236" t="s">
        <v>2</v>
      </c>
      <c r="E236" t="s">
        <v>769</v>
      </c>
      <c r="F236" t="s">
        <v>769</v>
      </c>
      <c r="G236" s="2">
        <v>5800</v>
      </c>
      <c r="H236" t="s">
        <v>785</v>
      </c>
      <c r="I236">
        <v>1</v>
      </c>
      <c r="J236" s="2">
        <v>5800</v>
      </c>
      <c r="K236">
        <v>61251001</v>
      </c>
      <c r="L236" t="s">
        <v>839</v>
      </c>
    </row>
    <row r="237" spans="1:12" x14ac:dyDescent="0.35">
      <c r="A237" s="9">
        <v>871091</v>
      </c>
      <c r="B237" s="2">
        <f>EXAMENES[[#This Row],[VALOR_UND]]*EXAMENES[[#This Row],[CANT_A_PAGAR]]</f>
        <v>5800</v>
      </c>
      <c r="C237" t="s">
        <v>323</v>
      </c>
      <c r="D237" t="s">
        <v>2</v>
      </c>
      <c r="E237" t="s">
        <v>769</v>
      </c>
      <c r="F237" t="s">
        <v>769</v>
      </c>
      <c r="G237" s="2">
        <v>5800</v>
      </c>
      <c r="H237" t="s">
        <v>785</v>
      </c>
      <c r="I237">
        <v>1</v>
      </c>
      <c r="J237" s="2">
        <v>5800</v>
      </c>
      <c r="K237">
        <v>61251001</v>
      </c>
      <c r="L237" t="s">
        <v>839</v>
      </c>
    </row>
    <row r="238" spans="1:12" x14ac:dyDescent="0.35">
      <c r="A238" s="9">
        <v>871111</v>
      </c>
      <c r="B238" s="2">
        <f>EXAMENES[[#This Row],[VALOR_UND]]*EXAMENES[[#This Row],[CANT_A_PAGAR]]</f>
        <v>5800</v>
      </c>
      <c r="C238" t="s">
        <v>325</v>
      </c>
      <c r="D238" t="s">
        <v>2</v>
      </c>
      <c r="E238" t="s">
        <v>769</v>
      </c>
      <c r="F238" t="s">
        <v>769</v>
      </c>
      <c r="G238" s="2">
        <v>5800</v>
      </c>
      <c r="H238" t="s">
        <v>785</v>
      </c>
      <c r="I238">
        <v>1</v>
      </c>
      <c r="J238" s="2">
        <v>5800</v>
      </c>
      <c r="K238">
        <v>61251001</v>
      </c>
      <c r="L238" t="s">
        <v>839</v>
      </c>
    </row>
    <row r="239" spans="1:12" x14ac:dyDescent="0.35">
      <c r="A239" s="9">
        <v>871112</v>
      </c>
      <c r="B239" s="2">
        <f>EXAMENES[[#This Row],[VALOR_UND]]*EXAMENES[[#This Row],[CANT_A_PAGAR]]</f>
        <v>5800</v>
      </c>
      <c r="C239" t="s">
        <v>327</v>
      </c>
      <c r="D239" t="s">
        <v>2</v>
      </c>
      <c r="E239" t="s">
        <v>769</v>
      </c>
      <c r="F239" t="s">
        <v>769</v>
      </c>
      <c r="G239" s="2">
        <v>5800</v>
      </c>
      <c r="H239" t="s">
        <v>785</v>
      </c>
      <c r="I239">
        <v>1</v>
      </c>
      <c r="J239" s="2">
        <v>5800</v>
      </c>
      <c r="K239">
        <v>61251001</v>
      </c>
      <c r="L239" t="s">
        <v>839</v>
      </c>
    </row>
    <row r="240" spans="1:12" x14ac:dyDescent="0.35">
      <c r="A240" s="9">
        <v>871120</v>
      </c>
      <c r="B240" s="2">
        <f>EXAMENES[[#This Row],[VALOR_UND]]*EXAMENES[[#This Row],[CANT_A_PAGAR]]</f>
        <v>5800</v>
      </c>
      <c r="C240" t="s">
        <v>329</v>
      </c>
      <c r="D240" t="s">
        <v>2</v>
      </c>
      <c r="E240" t="s">
        <v>769</v>
      </c>
      <c r="F240" t="s">
        <v>769</v>
      </c>
      <c r="G240" s="2">
        <v>5800</v>
      </c>
      <c r="H240" t="s">
        <v>785</v>
      </c>
      <c r="I240">
        <v>1</v>
      </c>
      <c r="J240" s="2">
        <v>5800</v>
      </c>
      <c r="K240">
        <v>61251001</v>
      </c>
      <c r="L240" t="s">
        <v>839</v>
      </c>
    </row>
    <row r="241" spans="1:12" x14ac:dyDescent="0.35">
      <c r="A241" s="9" t="s">
        <v>862</v>
      </c>
      <c r="B241" s="2">
        <f>EXAMENES[[#This Row],[VALOR_UND]]*EXAMENES[[#This Row],[CANT_A_PAGAR]]</f>
        <v>5800</v>
      </c>
      <c r="C241" t="s">
        <v>865</v>
      </c>
      <c r="D241" t="s">
        <v>2</v>
      </c>
      <c r="E241" t="s">
        <v>769</v>
      </c>
      <c r="F241" t="s">
        <v>769</v>
      </c>
      <c r="G241" s="2">
        <v>5800</v>
      </c>
      <c r="H241" t="s">
        <v>785</v>
      </c>
      <c r="I241">
        <v>1</v>
      </c>
      <c r="J241" s="2">
        <v>5800</v>
      </c>
      <c r="K241">
        <v>61251001</v>
      </c>
      <c r="L241" t="s">
        <v>839</v>
      </c>
    </row>
    <row r="242" spans="1:12" x14ac:dyDescent="0.35">
      <c r="A242" s="9">
        <v>871129</v>
      </c>
      <c r="B242" s="2">
        <f>EXAMENES[[#This Row],[VALOR_UND]]*EXAMENES[[#This Row],[CANT_A_PAGAR]]</f>
        <v>5800</v>
      </c>
      <c r="C242" t="s">
        <v>333</v>
      </c>
      <c r="D242" t="s">
        <v>2</v>
      </c>
      <c r="E242" t="s">
        <v>769</v>
      </c>
      <c r="F242" t="s">
        <v>769</v>
      </c>
      <c r="G242" s="2">
        <v>5800</v>
      </c>
      <c r="H242" t="s">
        <v>785</v>
      </c>
      <c r="I242">
        <v>1</v>
      </c>
      <c r="J242" s="2">
        <v>5800</v>
      </c>
      <c r="K242">
        <v>61251001</v>
      </c>
      <c r="L242" t="s">
        <v>839</v>
      </c>
    </row>
    <row r="243" spans="1:12" x14ac:dyDescent="0.35">
      <c r="A243" s="9">
        <v>871202</v>
      </c>
      <c r="B243" s="2">
        <f>EXAMENES[[#This Row],[VALOR_UND]]*EXAMENES[[#This Row],[CANT_A_PAGAR]]</f>
        <v>5800</v>
      </c>
      <c r="C243" t="s">
        <v>335</v>
      </c>
      <c r="D243" t="s">
        <v>2</v>
      </c>
      <c r="E243" t="s">
        <v>769</v>
      </c>
      <c r="F243" t="s">
        <v>769</v>
      </c>
      <c r="G243" s="2">
        <v>5800</v>
      </c>
      <c r="H243" t="s">
        <v>785</v>
      </c>
      <c r="I243">
        <v>1</v>
      </c>
      <c r="J243" s="2">
        <v>5800</v>
      </c>
      <c r="K243">
        <v>61251001</v>
      </c>
      <c r="L243" t="s">
        <v>839</v>
      </c>
    </row>
    <row r="244" spans="1:12" x14ac:dyDescent="0.35">
      <c r="A244" s="9">
        <v>872002</v>
      </c>
      <c r="B244" s="2">
        <f>EXAMENES[[#This Row],[VALOR_UND]]*EXAMENES[[#This Row],[CANT_A_PAGAR]]</f>
        <v>5800</v>
      </c>
      <c r="C244" t="s">
        <v>341</v>
      </c>
      <c r="D244" t="s">
        <v>2</v>
      </c>
      <c r="E244" t="s">
        <v>769</v>
      </c>
      <c r="F244" t="s">
        <v>769</v>
      </c>
      <c r="G244" s="2">
        <v>5800</v>
      </c>
      <c r="H244" t="s">
        <v>785</v>
      </c>
      <c r="I244">
        <v>1</v>
      </c>
      <c r="J244" s="2">
        <v>5800</v>
      </c>
      <c r="K244">
        <v>61251001</v>
      </c>
      <c r="L244" t="s">
        <v>839</v>
      </c>
    </row>
    <row r="245" spans="1:12" x14ac:dyDescent="0.35">
      <c r="A245" s="9">
        <v>872011</v>
      </c>
      <c r="B245" s="2">
        <f>EXAMENES[[#This Row],[VALOR_UND]]*EXAMENES[[#This Row],[CANT_A_PAGAR]]</f>
        <v>5800</v>
      </c>
      <c r="C245" t="s">
        <v>343</v>
      </c>
      <c r="D245" t="s">
        <v>2</v>
      </c>
      <c r="E245" t="s">
        <v>769</v>
      </c>
      <c r="F245" t="s">
        <v>769</v>
      </c>
      <c r="G245" s="2">
        <v>5800</v>
      </c>
      <c r="H245" t="s">
        <v>785</v>
      </c>
      <c r="I245">
        <v>1</v>
      </c>
      <c r="J245" s="2">
        <v>5800</v>
      </c>
      <c r="K245">
        <v>61251001</v>
      </c>
      <c r="L245" t="s">
        <v>839</v>
      </c>
    </row>
    <row r="246" spans="1:12" x14ac:dyDescent="0.35">
      <c r="A246" s="9">
        <v>873002</v>
      </c>
      <c r="B246" s="2">
        <f>EXAMENES[[#This Row],[VALOR_UND]]*EXAMENES[[#This Row],[CANT_A_PAGAR]]</f>
        <v>5800</v>
      </c>
      <c r="C246" t="s">
        <v>365</v>
      </c>
      <c r="D246" t="s">
        <v>2</v>
      </c>
      <c r="E246" t="s">
        <v>769</v>
      </c>
      <c r="F246" t="s">
        <v>769</v>
      </c>
      <c r="G246" s="2">
        <v>5800</v>
      </c>
      <c r="H246" t="s">
        <v>785</v>
      </c>
      <c r="I246">
        <v>1</v>
      </c>
      <c r="J246" s="2">
        <v>5800</v>
      </c>
      <c r="K246">
        <v>61251001</v>
      </c>
      <c r="L246" t="s">
        <v>839</v>
      </c>
    </row>
    <row r="247" spans="1:12" x14ac:dyDescent="0.35">
      <c r="A247" s="9">
        <v>873004</v>
      </c>
      <c r="B247" s="2">
        <f>EXAMENES[[#This Row],[VALOR_UND]]*EXAMENES[[#This Row],[CANT_A_PAGAR]]</f>
        <v>5800</v>
      </c>
      <c r="C247" t="s">
        <v>367</v>
      </c>
      <c r="D247" t="s">
        <v>2</v>
      </c>
      <c r="E247" t="s">
        <v>769</v>
      </c>
      <c r="F247" t="s">
        <v>769</v>
      </c>
      <c r="G247" s="2">
        <v>5800</v>
      </c>
      <c r="H247" t="s">
        <v>785</v>
      </c>
      <c r="I247">
        <v>1</v>
      </c>
      <c r="J247" s="2">
        <v>5800</v>
      </c>
      <c r="K247">
        <v>61251001</v>
      </c>
      <c r="L247" t="s">
        <v>839</v>
      </c>
    </row>
    <row r="248" spans="1:12" x14ac:dyDescent="0.35">
      <c r="A248" s="9">
        <v>873111</v>
      </c>
      <c r="B248" s="2">
        <f>EXAMENES[[#This Row],[VALOR_UND]]*EXAMENES[[#This Row],[CANT_A_PAGAR]]</f>
        <v>5800</v>
      </c>
      <c r="C248" t="s">
        <v>369</v>
      </c>
      <c r="D248" t="s">
        <v>2</v>
      </c>
      <c r="E248" t="s">
        <v>769</v>
      </c>
      <c r="F248" t="s">
        <v>769</v>
      </c>
      <c r="G248" s="2">
        <v>5800</v>
      </c>
      <c r="H248" t="s">
        <v>785</v>
      </c>
      <c r="I248">
        <v>1</v>
      </c>
      <c r="J248" s="2">
        <v>5800</v>
      </c>
      <c r="K248">
        <v>61251001</v>
      </c>
      <c r="L248" t="s">
        <v>839</v>
      </c>
    </row>
    <row r="249" spans="1:12" x14ac:dyDescent="0.35">
      <c r="A249" s="9">
        <v>873112</v>
      </c>
      <c r="B249" s="2">
        <f>EXAMENES[[#This Row],[VALOR_UND]]*EXAMENES[[#This Row],[CANT_A_PAGAR]]</f>
        <v>5800</v>
      </c>
      <c r="C249" t="s">
        <v>371</v>
      </c>
      <c r="D249" t="s">
        <v>2</v>
      </c>
      <c r="E249" t="s">
        <v>769</v>
      </c>
      <c r="F249" t="s">
        <v>769</v>
      </c>
      <c r="G249" s="2">
        <v>5800</v>
      </c>
      <c r="H249" t="s">
        <v>785</v>
      </c>
      <c r="I249">
        <v>1</v>
      </c>
      <c r="J249" s="2">
        <v>5800</v>
      </c>
      <c r="K249">
        <v>61251001</v>
      </c>
      <c r="L249" t="s">
        <v>839</v>
      </c>
    </row>
    <row r="250" spans="1:12" x14ac:dyDescent="0.35">
      <c r="A250" s="9">
        <v>873121</v>
      </c>
      <c r="B250" s="2">
        <f>EXAMENES[[#This Row],[VALOR_UND]]*EXAMENES[[#This Row],[CANT_A_PAGAR]]</f>
        <v>5800</v>
      </c>
      <c r="C250" t="s">
        <v>373</v>
      </c>
      <c r="D250" t="s">
        <v>2</v>
      </c>
      <c r="E250" t="s">
        <v>769</v>
      </c>
      <c r="F250" t="s">
        <v>769</v>
      </c>
      <c r="G250" s="2">
        <v>5800</v>
      </c>
      <c r="H250" t="s">
        <v>785</v>
      </c>
      <c r="I250">
        <v>1</v>
      </c>
      <c r="J250" s="2">
        <v>5800</v>
      </c>
      <c r="K250">
        <v>61251001</v>
      </c>
      <c r="L250" t="s">
        <v>839</v>
      </c>
    </row>
    <row r="251" spans="1:12" x14ac:dyDescent="0.35">
      <c r="A251" s="9">
        <v>873122</v>
      </c>
      <c r="B251" s="2">
        <f>EXAMENES[[#This Row],[VALOR_UND]]*EXAMENES[[#This Row],[CANT_A_PAGAR]]</f>
        <v>5800</v>
      </c>
      <c r="C251" t="s">
        <v>375</v>
      </c>
      <c r="D251" t="s">
        <v>2</v>
      </c>
      <c r="E251" t="s">
        <v>769</v>
      </c>
      <c r="F251" t="s">
        <v>769</v>
      </c>
      <c r="G251" s="2">
        <v>5800</v>
      </c>
      <c r="H251" t="s">
        <v>785</v>
      </c>
      <c r="I251">
        <v>1</v>
      </c>
      <c r="J251" s="2">
        <v>5800</v>
      </c>
      <c r="K251">
        <v>61251001</v>
      </c>
      <c r="L251" t="s">
        <v>839</v>
      </c>
    </row>
    <row r="252" spans="1:12" x14ac:dyDescent="0.35">
      <c r="A252" s="9">
        <v>873123</v>
      </c>
      <c r="B252" s="2">
        <f>EXAMENES[[#This Row],[VALOR_UND]]*EXAMENES[[#This Row],[CANT_A_PAGAR]]</f>
        <v>2400</v>
      </c>
      <c r="C252" t="s">
        <v>377</v>
      </c>
      <c r="D252" t="s">
        <v>2</v>
      </c>
      <c r="E252" t="s">
        <v>769</v>
      </c>
      <c r="F252" t="s">
        <v>769</v>
      </c>
      <c r="G252" s="2">
        <v>2400</v>
      </c>
      <c r="H252" t="s">
        <v>785</v>
      </c>
      <c r="I252">
        <v>1</v>
      </c>
      <c r="J252" s="2">
        <v>2400</v>
      </c>
      <c r="K252">
        <v>61251001</v>
      </c>
      <c r="L252" t="s">
        <v>839</v>
      </c>
    </row>
    <row r="253" spans="1:12" x14ac:dyDescent="0.35">
      <c r="A253" s="9">
        <v>873202</v>
      </c>
      <c r="B253" s="2">
        <f>EXAMENES[[#This Row],[VALOR_UND]]*EXAMENES[[#This Row],[CANT_A_PAGAR]]</f>
        <v>8200</v>
      </c>
      <c r="C253" t="s">
        <v>379</v>
      </c>
      <c r="D253" t="s">
        <v>2</v>
      </c>
      <c r="E253" t="s">
        <v>769</v>
      </c>
      <c r="F253" t="s">
        <v>769</v>
      </c>
      <c r="G253" s="2">
        <v>8200</v>
      </c>
      <c r="H253" t="s">
        <v>785</v>
      </c>
      <c r="I253">
        <v>1</v>
      </c>
      <c r="J253" s="2">
        <v>8200</v>
      </c>
      <c r="K253">
        <v>61251001</v>
      </c>
      <c r="L253" t="s">
        <v>839</v>
      </c>
    </row>
    <row r="254" spans="1:12" x14ac:dyDescent="0.35">
      <c r="A254" s="9">
        <v>873204</v>
      </c>
      <c r="B254" s="2">
        <f>EXAMENES[[#This Row],[VALOR_UND]]*EXAMENES[[#This Row],[CANT_A_PAGAR]]</f>
        <v>5800</v>
      </c>
      <c r="C254" t="s">
        <v>381</v>
      </c>
      <c r="D254" t="s">
        <v>2</v>
      </c>
      <c r="E254" t="s">
        <v>769</v>
      </c>
      <c r="F254" t="s">
        <v>769</v>
      </c>
      <c r="G254" s="2">
        <v>5800</v>
      </c>
      <c r="H254" t="s">
        <v>785</v>
      </c>
      <c r="I254">
        <v>1</v>
      </c>
      <c r="J254" s="2">
        <v>5800</v>
      </c>
      <c r="K254">
        <v>61251001</v>
      </c>
      <c r="L254" t="s">
        <v>839</v>
      </c>
    </row>
    <row r="255" spans="1:12" x14ac:dyDescent="0.35">
      <c r="A255" s="9">
        <v>873205</v>
      </c>
      <c r="B255" s="2">
        <f>EXAMENES[[#This Row],[VALOR_UND]]*EXAMENES[[#This Row],[CANT_A_PAGAR]]</f>
        <v>5800</v>
      </c>
      <c r="C255" t="s">
        <v>383</v>
      </c>
      <c r="D255" t="s">
        <v>2</v>
      </c>
      <c r="E255" t="s">
        <v>769</v>
      </c>
      <c r="F255" t="s">
        <v>769</v>
      </c>
      <c r="G255" s="2">
        <v>5800</v>
      </c>
      <c r="H255" t="s">
        <v>785</v>
      </c>
      <c r="I255">
        <v>1</v>
      </c>
      <c r="J255" s="2">
        <v>5800</v>
      </c>
      <c r="K255">
        <v>61251001</v>
      </c>
      <c r="L255" t="s">
        <v>839</v>
      </c>
    </row>
    <row r="256" spans="1:12" x14ac:dyDescent="0.35">
      <c r="A256" s="9">
        <v>873206</v>
      </c>
      <c r="B256" s="2">
        <f>EXAMENES[[#This Row],[VALOR_UND]]*EXAMENES[[#This Row],[CANT_A_PAGAR]]</f>
        <v>5800</v>
      </c>
      <c r="C256" t="s">
        <v>385</v>
      </c>
      <c r="D256" t="s">
        <v>2</v>
      </c>
      <c r="E256" t="s">
        <v>769</v>
      </c>
      <c r="F256" t="s">
        <v>769</v>
      </c>
      <c r="G256" s="2">
        <v>5800</v>
      </c>
      <c r="H256" t="s">
        <v>785</v>
      </c>
      <c r="I256">
        <v>1</v>
      </c>
      <c r="J256" s="2">
        <v>5800</v>
      </c>
      <c r="K256">
        <v>61251001</v>
      </c>
      <c r="L256" t="s">
        <v>839</v>
      </c>
    </row>
    <row r="257" spans="1:12" x14ac:dyDescent="0.35">
      <c r="A257" s="9">
        <v>873210</v>
      </c>
      <c r="B257" s="2">
        <f>EXAMENES[[#This Row],[VALOR_UND]]*EXAMENES[[#This Row],[CANT_A_PAGAR]]</f>
        <v>5800</v>
      </c>
      <c r="C257" t="s">
        <v>387</v>
      </c>
      <c r="D257" t="s">
        <v>2</v>
      </c>
      <c r="E257" t="s">
        <v>769</v>
      </c>
      <c r="F257" t="s">
        <v>769</v>
      </c>
      <c r="G257" s="2">
        <v>5800</v>
      </c>
      <c r="H257" t="s">
        <v>785</v>
      </c>
      <c r="I257">
        <v>1</v>
      </c>
      <c r="J257" s="2">
        <v>5800</v>
      </c>
      <c r="K257">
        <v>61251001</v>
      </c>
      <c r="L257" t="s">
        <v>839</v>
      </c>
    </row>
    <row r="258" spans="1:12" x14ac:dyDescent="0.35">
      <c r="A258" s="9">
        <v>873241</v>
      </c>
      <c r="B258" s="2">
        <f>EXAMENES[[#This Row],[VALOR_UND]]*EXAMENES[[#This Row],[CANT_A_PAGAR]]</f>
        <v>5800</v>
      </c>
      <c r="C258" t="s">
        <v>389</v>
      </c>
      <c r="D258" t="s">
        <v>2</v>
      </c>
      <c r="E258" t="s">
        <v>769</v>
      </c>
      <c r="F258" t="s">
        <v>769</v>
      </c>
      <c r="G258" s="2">
        <v>5800</v>
      </c>
      <c r="H258" t="s">
        <v>785</v>
      </c>
      <c r="I258">
        <v>1</v>
      </c>
      <c r="J258" s="2">
        <v>5800</v>
      </c>
      <c r="K258">
        <v>61251001</v>
      </c>
      <c r="L258" t="s">
        <v>839</v>
      </c>
    </row>
    <row r="259" spans="1:12" x14ac:dyDescent="0.35">
      <c r="A259" s="9">
        <v>873302</v>
      </c>
      <c r="B259" s="2">
        <f>EXAMENES[[#This Row],[VALOR_UND]]*EXAMENES[[#This Row],[CANT_A_PAGAR]]</f>
        <v>5800</v>
      </c>
      <c r="C259" t="s">
        <v>391</v>
      </c>
      <c r="D259" t="s">
        <v>2</v>
      </c>
      <c r="E259" t="s">
        <v>769</v>
      </c>
      <c r="F259" t="s">
        <v>769</v>
      </c>
      <c r="G259" s="2">
        <v>5800</v>
      </c>
      <c r="H259" t="s">
        <v>785</v>
      </c>
      <c r="I259">
        <v>1</v>
      </c>
      <c r="J259" s="2">
        <v>5800</v>
      </c>
      <c r="K259">
        <v>61251001</v>
      </c>
      <c r="L259" t="s">
        <v>839</v>
      </c>
    </row>
    <row r="260" spans="1:12" x14ac:dyDescent="0.35">
      <c r="A260" s="9">
        <v>873303</v>
      </c>
      <c r="B260" s="2">
        <f>EXAMENES[[#This Row],[VALOR_UND]]*EXAMENES[[#This Row],[CANT_A_PAGAR]]</f>
        <v>8200</v>
      </c>
      <c r="C260" t="s">
        <v>393</v>
      </c>
      <c r="D260" t="s">
        <v>2</v>
      </c>
      <c r="E260" t="s">
        <v>769</v>
      </c>
      <c r="F260" t="s">
        <v>769</v>
      </c>
      <c r="G260" s="2">
        <v>8200</v>
      </c>
      <c r="H260" t="s">
        <v>785</v>
      </c>
      <c r="I260">
        <v>1</v>
      </c>
      <c r="J260" s="2">
        <v>8200</v>
      </c>
      <c r="K260">
        <v>61251001</v>
      </c>
      <c r="L260" t="s">
        <v>839</v>
      </c>
    </row>
    <row r="261" spans="1:12" x14ac:dyDescent="0.35">
      <c r="A261" s="9">
        <v>873305</v>
      </c>
      <c r="B261" s="2">
        <f>EXAMENES[[#This Row],[VALOR_UND]]*EXAMENES[[#This Row],[CANT_A_PAGAR]]</f>
        <v>5800</v>
      </c>
      <c r="C261" t="s">
        <v>395</v>
      </c>
      <c r="D261" t="s">
        <v>2</v>
      </c>
      <c r="E261" t="s">
        <v>769</v>
      </c>
      <c r="F261" t="s">
        <v>769</v>
      </c>
      <c r="G261" s="2">
        <v>5800</v>
      </c>
      <c r="H261" t="s">
        <v>785</v>
      </c>
      <c r="I261">
        <v>1</v>
      </c>
      <c r="J261" s="2">
        <v>5800</v>
      </c>
      <c r="K261">
        <v>61251001</v>
      </c>
      <c r="L261" t="s">
        <v>839</v>
      </c>
    </row>
    <row r="262" spans="1:12" x14ac:dyDescent="0.35">
      <c r="A262" s="9">
        <v>873311</v>
      </c>
      <c r="B262" s="2">
        <f>EXAMENES[[#This Row],[VALOR_UND]]*EXAMENES[[#This Row],[CANT_A_PAGAR]]</f>
        <v>5800</v>
      </c>
      <c r="C262" t="s">
        <v>397</v>
      </c>
      <c r="D262" t="s">
        <v>2</v>
      </c>
      <c r="E262" t="s">
        <v>769</v>
      </c>
      <c r="F262" t="s">
        <v>769</v>
      </c>
      <c r="G262" s="2">
        <v>5800</v>
      </c>
      <c r="H262" t="s">
        <v>785</v>
      </c>
      <c r="I262">
        <v>1</v>
      </c>
      <c r="J262" s="2">
        <v>5800</v>
      </c>
      <c r="K262">
        <v>61251001</v>
      </c>
      <c r="L262" t="s">
        <v>839</v>
      </c>
    </row>
    <row r="263" spans="1:12" x14ac:dyDescent="0.35">
      <c r="A263" s="9">
        <v>873312</v>
      </c>
      <c r="B263" s="2">
        <f>EXAMENES[[#This Row],[VALOR_UND]]*EXAMENES[[#This Row],[CANT_A_PAGAR]]</f>
        <v>5800</v>
      </c>
      <c r="C263" t="s">
        <v>399</v>
      </c>
      <c r="D263" t="s">
        <v>2</v>
      </c>
      <c r="E263" t="s">
        <v>769</v>
      </c>
      <c r="F263" t="s">
        <v>769</v>
      </c>
      <c r="G263" s="2">
        <v>5800</v>
      </c>
      <c r="H263" t="s">
        <v>785</v>
      </c>
      <c r="I263">
        <v>1</v>
      </c>
      <c r="J263" s="2">
        <v>5800</v>
      </c>
      <c r="K263">
        <v>61251001</v>
      </c>
      <c r="L263" t="s">
        <v>839</v>
      </c>
    </row>
    <row r="264" spans="1:12" x14ac:dyDescent="0.35">
      <c r="A264" s="9">
        <v>873313</v>
      </c>
      <c r="B264" s="2">
        <f>EXAMENES[[#This Row],[VALOR_UND]]*EXAMENES[[#This Row],[CANT_A_PAGAR]]</f>
        <v>5800</v>
      </c>
      <c r="C264" t="s">
        <v>401</v>
      </c>
      <c r="D264" t="s">
        <v>2</v>
      </c>
      <c r="E264" t="s">
        <v>769</v>
      </c>
      <c r="F264" t="s">
        <v>769</v>
      </c>
      <c r="G264" s="2">
        <v>5800</v>
      </c>
      <c r="H264" t="s">
        <v>785</v>
      </c>
      <c r="I264">
        <v>1</v>
      </c>
      <c r="J264" s="2">
        <v>5800</v>
      </c>
      <c r="K264">
        <v>61251001</v>
      </c>
      <c r="L264" t="s">
        <v>839</v>
      </c>
    </row>
    <row r="265" spans="1:12" x14ac:dyDescent="0.35">
      <c r="A265" s="9">
        <v>873314</v>
      </c>
      <c r="B265" s="2">
        <f>EXAMENES[[#This Row],[VALOR_UND]]*EXAMENES[[#This Row],[CANT_A_PAGAR]]</f>
        <v>5800</v>
      </c>
      <c r="C265" t="s">
        <v>403</v>
      </c>
      <c r="D265" t="s">
        <v>2</v>
      </c>
      <c r="E265" t="s">
        <v>769</v>
      </c>
      <c r="F265" t="s">
        <v>769</v>
      </c>
      <c r="G265" s="2">
        <v>5800</v>
      </c>
      <c r="H265" t="s">
        <v>785</v>
      </c>
      <c r="I265">
        <v>1</v>
      </c>
      <c r="J265" s="2">
        <v>5800</v>
      </c>
      <c r="K265">
        <v>61251001</v>
      </c>
      <c r="L265" t="s">
        <v>839</v>
      </c>
    </row>
    <row r="266" spans="1:12" x14ac:dyDescent="0.35">
      <c r="A266" s="9">
        <v>873333</v>
      </c>
      <c r="B266" s="2">
        <f>EXAMENES[[#This Row],[VALOR_UND]]*EXAMENES[[#This Row],[CANT_A_PAGAR]]</f>
        <v>5800</v>
      </c>
      <c r="C266" t="s">
        <v>405</v>
      </c>
      <c r="D266" t="s">
        <v>2</v>
      </c>
      <c r="E266" t="s">
        <v>769</v>
      </c>
      <c r="F266" t="s">
        <v>769</v>
      </c>
      <c r="G266" s="2">
        <v>5800</v>
      </c>
      <c r="H266" t="s">
        <v>785</v>
      </c>
      <c r="I266">
        <v>1</v>
      </c>
      <c r="J266" s="2">
        <v>5800</v>
      </c>
      <c r="K266">
        <v>61251001</v>
      </c>
      <c r="L266" t="s">
        <v>839</v>
      </c>
    </row>
    <row r="267" spans="1:12" x14ac:dyDescent="0.35">
      <c r="A267" s="9">
        <v>873335</v>
      </c>
      <c r="B267" s="2">
        <f>EXAMENES[[#This Row],[VALOR_UND]]*EXAMENES[[#This Row],[CANT_A_PAGAR]]</f>
        <v>5800</v>
      </c>
      <c r="C267" t="s">
        <v>407</v>
      </c>
      <c r="D267" t="s">
        <v>2</v>
      </c>
      <c r="E267" t="s">
        <v>769</v>
      </c>
      <c r="F267" t="s">
        <v>769</v>
      </c>
      <c r="G267" s="2">
        <v>5800</v>
      </c>
      <c r="H267" t="s">
        <v>785</v>
      </c>
      <c r="I267">
        <v>1</v>
      </c>
      <c r="J267" s="2">
        <v>5800</v>
      </c>
      <c r="K267">
        <v>61251001</v>
      </c>
      <c r="L267" t="s">
        <v>839</v>
      </c>
    </row>
    <row r="268" spans="1:12" x14ac:dyDescent="0.35">
      <c r="A268" s="9">
        <v>873411</v>
      </c>
      <c r="B268" s="2">
        <f>EXAMENES[[#This Row],[VALOR_UND]]*EXAMENES[[#This Row],[CANT_A_PAGAR]]</f>
        <v>5800</v>
      </c>
      <c r="C268" t="s">
        <v>409</v>
      </c>
      <c r="D268" t="s">
        <v>2</v>
      </c>
      <c r="E268" t="s">
        <v>769</v>
      </c>
      <c r="F268" t="s">
        <v>769</v>
      </c>
      <c r="G268" s="2">
        <v>5800</v>
      </c>
      <c r="H268" t="s">
        <v>785</v>
      </c>
      <c r="I268">
        <v>1</v>
      </c>
      <c r="J268" s="2">
        <v>5800</v>
      </c>
      <c r="K268">
        <v>61251001</v>
      </c>
      <c r="L268" t="s">
        <v>839</v>
      </c>
    </row>
    <row r="269" spans="1:12" x14ac:dyDescent="0.35">
      <c r="A269" s="9">
        <v>873412</v>
      </c>
      <c r="B269" s="2">
        <f>EXAMENES[[#This Row],[VALOR_UND]]*EXAMENES[[#This Row],[CANT_A_PAGAR]]</f>
        <v>8200</v>
      </c>
      <c r="C269" t="s">
        <v>411</v>
      </c>
      <c r="D269" t="s">
        <v>2</v>
      </c>
      <c r="E269" t="s">
        <v>769</v>
      </c>
      <c r="F269" t="s">
        <v>769</v>
      </c>
      <c r="G269" s="2">
        <v>8200</v>
      </c>
      <c r="H269" t="s">
        <v>785</v>
      </c>
      <c r="I269">
        <v>1</v>
      </c>
      <c r="J269" s="2">
        <v>8200</v>
      </c>
      <c r="K269">
        <v>61251001</v>
      </c>
      <c r="L269" t="s">
        <v>839</v>
      </c>
    </row>
    <row r="270" spans="1:12" x14ac:dyDescent="0.35">
      <c r="A270" s="9">
        <v>873414</v>
      </c>
      <c r="B270" s="2">
        <f>EXAMENES[[#This Row],[VALOR_UND]]*EXAMENES[[#This Row],[CANT_A_PAGAR]]</f>
        <v>5800</v>
      </c>
      <c r="C270" t="s">
        <v>413</v>
      </c>
      <c r="D270" t="s">
        <v>2</v>
      </c>
      <c r="E270" t="s">
        <v>769</v>
      </c>
      <c r="F270" t="s">
        <v>769</v>
      </c>
      <c r="G270" s="2">
        <v>5800</v>
      </c>
      <c r="H270" t="s">
        <v>785</v>
      </c>
      <c r="I270">
        <v>1</v>
      </c>
      <c r="J270" s="2">
        <v>5800</v>
      </c>
      <c r="K270">
        <v>61251001</v>
      </c>
      <c r="L270" t="s">
        <v>839</v>
      </c>
    </row>
    <row r="271" spans="1:12" x14ac:dyDescent="0.35">
      <c r="A271" s="9">
        <v>873420</v>
      </c>
      <c r="B271" s="2">
        <f>EXAMENES[[#This Row],[VALOR_UND]]*EXAMENES[[#This Row],[CANT_A_PAGAR]]</f>
        <v>5800</v>
      </c>
      <c r="C271" t="s">
        <v>415</v>
      </c>
      <c r="D271" t="s">
        <v>2</v>
      </c>
      <c r="E271" t="s">
        <v>769</v>
      </c>
      <c r="F271" t="s">
        <v>769</v>
      </c>
      <c r="G271" s="2">
        <v>5800</v>
      </c>
      <c r="H271" t="s">
        <v>785</v>
      </c>
      <c r="I271">
        <v>1</v>
      </c>
      <c r="J271" s="2">
        <v>5800</v>
      </c>
      <c r="K271">
        <v>61251001</v>
      </c>
      <c r="L271" t="s">
        <v>839</v>
      </c>
    </row>
    <row r="272" spans="1:12" x14ac:dyDescent="0.35">
      <c r="A272" s="9">
        <v>873422</v>
      </c>
      <c r="B272" s="2">
        <f>EXAMENES[[#This Row],[VALOR_UND]]*EXAMENES[[#This Row],[CANT_A_PAGAR]]</f>
        <v>8200</v>
      </c>
      <c r="C272" t="s">
        <v>417</v>
      </c>
      <c r="D272" t="s">
        <v>2</v>
      </c>
      <c r="E272" t="s">
        <v>769</v>
      </c>
      <c r="F272" t="s">
        <v>769</v>
      </c>
      <c r="G272" s="2">
        <v>8200</v>
      </c>
      <c r="H272" t="s">
        <v>785</v>
      </c>
      <c r="I272">
        <v>1</v>
      </c>
      <c r="J272" s="2">
        <v>8200</v>
      </c>
      <c r="K272">
        <v>61251001</v>
      </c>
      <c r="L272" t="s">
        <v>839</v>
      </c>
    </row>
    <row r="273" spans="1:12" x14ac:dyDescent="0.35">
      <c r="A273" s="9">
        <v>873423</v>
      </c>
      <c r="B273" s="2">
        <f>EXAMENES[[#This Row],[VALOR_UND]]*EXAMENES[[#This Row],[CANT_A_PAGAR]]</f>
        <v>5800</v>
      </c>
      <c r="C273" t="s">
        <v>419</v>
      </c>
      <c r="D273" t="s">
        <v>2</v>
      </c>
      <c r="E273" t="s">
        <v>769</v>
      </c>
      <c r="F273" t="s">
        <v>769</v>
      </c>
      <c r="G273" s="2">
        <v>5800</v>
      </c>
      <c r="H273" t="s">
        <v>785</v>
      </c>
      <c r="I273">
        <v>1</v>
      </c>
      <c r="J273" s="2">
        <v>5800</v>
      </c>
      <c r="K273">
        <v>61251001</v>
      </c>
      <c r="L273" t="s">
        <v>839</v>
      </c>
    </row>
    <row r="274" spans="1:12" x14ac:dyDescent="0.35">
      <c r="A274" s="9">
        <v>873424</v>
      </c>
      <c r="B274" s="2">
        <f>EXAMENES[[#This Row],[VALOR_UND]]*EXAMENES[[#This Row],[CANT_A_PAGAR]]</f>
        <v>5800</v>
      </c>
      <c r="C274" t="s">
        <v>421</v>
      </c>
      <c r="D274" t="s">
        <v>2</v>
      </c>
      <c r="E274" t="s">
        <v>769</v>
      </c>
      <c r="F274" t="s">
        <v>769</v>
      </c>
      <c r="G274" s="2">
        <v>5800</v>
      </c>
      <c r="H274" t="s">
        <v>785</v>
      </c>
      <c r="I274">
        <v>1</v>
      </c>
      <c r="J274" s="2">
        <v>5800</v>
      </c>
      <c r="K274">
        <v>61251001</v>
      </c>
      <c r="L274" t="s">
        <v>839</v>
      </c>
    </row>
    <row r="275" spans="1:12" x14ac:dyDescent="0.35">
      <c r="A275" s="9">
        <v>873426</v>
      </c>
      <c r="B275" s="2">
        <f>EXAMENES[[#This Row],[VALOR_UND]]*EXAMENES[[#This Row],[CANT_A_PAGAR]]</f>
        <v>5800</v>
      </c>
      <c r="C275" t="s">
        <v>423</v>
      </c>
      <c r="D275" t="s">
        <v>2</v>
      </c>
      <c r="E275" t="s">
        <v>769</v>
      </c>
      <c r="F275" t="s">
        <v>769</v>
      </c>
      <c r="G275" s="2">
        <v>5800</v>
      </c>
      <c r="H275" t="s">
        <v>785</v>
      </c>
      <c r="I275">
        <v>1</v>
      </c>
      <c r="J275" s="2">
        <v>5800</v>
      </c>
      <c r="K275">
        <v>61251001</v>
      </c>
      <c r="L275" t="s">
        <v>839</v>
      </c>
    </row>
    <row r="276" spans="1:12" x14ac:dyDescent="0.35">
      <c r="A276" s="9">
        <v>873431</v>
      </c>
      <c r="B276" s="2">
        <f>EXAMENES[[#This Row],[VALOR_UND]]*EXAMENES[[#This Row],[CANT_A_PAGAR]]</f>
        <v>5800</v>
      </c>
      <c r="C276" t="s">
        <v>425</v>
      </c>
      <c r="D276" t="s">
        <v>2</v>
      </c>
      <c r="E276" t="s">
        <v>769</v>
      </c>
      <c r="F276" t="s">
        <v>769</v>
      </c>
      <c r="G276" s="2">
        <v>5800</v>
      </c>
      <c r="H276" t="s">
        <v>785</v>
      </c>
      <c r="I276">
        <v>1</v>
      </c>
      <c r="J276" s="2">
        <v>5800</v>
      </c>
      <c r="K276">
        <v>61251001</v>
      </c>
      <c r="L276" t="s">
        <v>839</v>
      </c>
    </row>
    <row r="277" spans="1:12" x14ac:dyDescent="0.35">
      <c r="A277" s="9">
        <v>873432</v>
      </c>
      <c r="B277" s="2">
        <f>EXAMENES[[#This Row],[VALOR_UND]]*EXAMENES[[#This Row],[CANT_A_PAGAR]]</f>
        <v>5800</v>
      </c>
      <c r="C277" t="s">
        <v>427</v>
      </c>
      <c r="D277" t="s">
        <v>2</v>
      </c>
      <c r="E277" t="s">
        <v>769</v>
      </c>
      <c r="F277" t="s">
        <v>769</v>
      </c>
      <c r="G277" s="2">
        <v>5800</v>
      </c>
      <c r="H277" t="s">
        <v>785</v>
      </c>
      <c r="I277">
        <v>1</v>
      </c>
      <c r="J277" s="2">
        <v>5800</v>
      </c>
      <c r="K277">
        <v>61251001</v>
      </c>
      <c r="L277" t="s">
        <v>839</v>
      </c>
    </row>
    <row r="278" spans="1:12" x14ac:dyDescent="0.35">
      <c r="A278" s="9">
        <v>873443</v>
      </c>
      <c r="B278" s="2">
        <f>EXAMENES[[#This Row],[VALOR_UND]]*EXAMENES[[#This Row],[CANT_A_PAGAR]]</f>
        <v>2400</v>
      </c>
      <c r="C278" t="s">
        <v>429</v>
      </c>
      <c r="D278" t="s">
        <v>2</v>
      </c>
      <c r="E278" t="s">
        <v>769</v>
      </c>
      <c r="F278" t="s">
        <v>769</v>
      </c>
      <c r="G278" s="2">
        <v>2400</v>
      </c>
      <c r="H278" t="s">
        <v>785</v>
      </c>
      <c r="I278">
        <v>1</v>
      </c>
      <c r="J278" s="2">
        <v>2400</v>
      </c>
      <c r="K278">
        <v>61251001</v>
      </c>
      <c r="L278" t="s">
        <v>839</v>
      </c>
    </row>
    <row r="279" spans="1:12" x14ac:dyDescent="0.35">
      <c r="A279" s="9">
        <v>873444</v>
      </c>
      <c r="B279" s="2">
        <f>EXAMENES[[#This Row],[VALOR_UND]]*EXAMENES[[#This Row],[CANT_A_PAGAR]]</f>
        <v>2400</v>
      </c>
      <c r="C279" t="s">
        <v>431</v>
      </c>
      <c r="D279" t="s">
        <v>2</v>
      </c>
      <c r="E279" t="s">
        <v>769</v>
      </c>
      <c r="F279" t="s">
        <v>769</v>
      </c>
      <c r="G279" s="2">
        <v>2400</v>
      </c>
      <c r="H279" t="s">
        <v>785</v>
      </c>
      <c r="I279">
        <v>1</v>
      </c>
      <c r="J279" s="2">
        <v>2400</v>
      </c>
      <c r="K279">
        <v>61251001</v>
      </c>
      <c r="L279" t="s">
        <v>839</v>
      </c>
    </row>
    <row r="280" spans="1:12" x14ac:dyDescent="0.35">
      <c r="A280" s="9">
        <v>873449</v>
      </c>
      <c r="B280" s="2">
        <f>EXAMENES[[#This Row],[VALOR_UND]]*EXAMENES[[#This Row],[CANT_A_PAGAR]]</f>
        <v>2400</v>
      </c>
      <c r="C280" t="s">
        <v>433</v>
      </c>
      <c r="D280" t="s">
        <v>2</v>
      </c>
      <c r="E280" t="s">
        <v>769</v>
      </c>
      <c r="F280" t="s">
        <v>769</v>
      </c>
      <c r="G280" s="2">
        <v>2400</v>
      </c>
      <c r="H280" t="s">
        <v>785</v>
      </c>
      <c r="I280">
        <v>1</v>
      </c>
      <c r="J280" s="2">
        <v>2400</v>
      </c>
      <c r="K280">
        <v>61251001</v>
      </c>
      <c r="L280" t="s">
        <v>839</v>
      </c>
    </row>
    <row r="281" spans="1:12" x14ac:dyDescent="0.35">
      <c r="A281" s="9" t="s">
        <v>40</v>
      </c>
      <c r="B281" s="2">
        <f>EXAMENES[[#This Row],[VALOR_UND]]*EXAMENES[[#This Row],[CANT_A_PAGAR]]</f>
        <v>30000</v>
      </c>
      <c r="C281" t="s">
        <v>41</v>
      </c>
      <c r="D281" t="s">
        <v>42</v>
      </c>
      <c r="E281" t="s">
        <v>768</v>
      </c>
      <c r="F281" t="s">
        <v>780</v>
      </c>
      <c r="G281" s="2">
        <v>30000</v>
      </c>
      <c r="H281" t="s">
        <v>786</v>
      </c>
      <c r="I281">
        <v>1</v>
      </c>
      <c r="J281" s="2">
        <v>30000</v>
      </c>
      <c r="K281">
        <v>61251007</v>
      </c>
      <c r="L281" t="s">
        <v>844</v>
      </c>
    </row>
    <row r="282" spans="1:12" x14ac:dyDescent="0.35">
      <c r="A282" s="9" t="s">
        <v>43</v>
      </c>
      <c r="B282" s="2">
        <f>EXAMENES[[#This Row],[VALOR_UND]]*EXAMENES[[#This Row],[CANT_A_PAGAR]]</f>
        <v>30000</v>
      </c>
      <c r="C282" t="s">
        <v>44</v>
      </c>
      <c r="D282" t="s">
        <v>42</v>
      </c>
      <c r="E282" t="s">
        <v>768</v>
      </c>
      <c r="F282" t="s">
        <v>780</v>
      </c>
      <c r="G282" s="2">
        <v>30000</v>
      </c>
      <c r="H282" t="s">
        <v>786</v>
      </c>
      <c r="I282">
        <v>1</v>
      </c>
      <c r="J282" s="2">
        <v>30000</v>
      </c>
      <c r="K282">
        <v>61251007</v>
      </c>
      <c r="L282" t="s">
        <v>844</v>
      </c>
    </row>
    <row r="283" spans="1:12" x14ac:dyDescent="0.35">
      <c r="A283" s="9" t="s">
        <v>45</v>
      </c>
      <c r="B283" s="2">
        <f>EXAMENES[[#This Row],[VALOR_UND]]*EXAMENES[[#This Row],[CANT_A_PAGAR]]</f>
        <v>30000</v>
      </c>
      <c r="C283" t="s">
        <v>46</v>
      </c>
      <c r="D283" t="s">
        <v>42</v>
      </c>
      <c r="E283" t="s">
        <v>768</v>
      </c>
      <c r="F283" t="s">
        <v>780</v>
      </c>
      <c r="G283" s="2">
        <v>30000</v>
      </c>
      <c r="H283" t="s">
        <v>786</v>
      </c>
      <c r="I283">
        <v>1</v>
      </c>
      <c r="J283" s="2">
        <v>30000</v>
      </c>
      <c r="K283">
        <v>61251007</v>
      </c>
      <c r="L283" t="s">
        <v>844</v>
      </c>
    </row>
    <row r="284" spans="1:12" x14ac:dyDescent="0.35">
      <c r="A284" s="9" t="s">
        <v>47</v>
      </c>
      <c r="B284" s="2">
        <f>EXAMENES[[#This Row],[VALOR_UND]]*EXAMENES[[#This Row],[CANT_A_PAGAR]]</f>
        <v>30000</v>
      </c>
      <c r="C284" t="s">
        <v>48</v>
      </c>
      <c r="D284" t="s">
        <v>42</v>
      </c>
      <c r="E284" t="s">
        <v>768</v>
      </c>
      <c r="F284" t="s">
        <v>780</v>
      </c>
      <c r="G284" s="2">
        <v>30000</v>
      </c>
      <c r="H284" t="s">
        <v>786</v>
      </c>
      <c r="I284">
        <v>1</v>
      </c>
      <c r="J284" s="2">
        <v>30000</v>
      </c>
      <c r="K284">
        <v>61251007</v>
      </c>
      <c r="L284" t="s">
        <v>844</v>
      </c>
    </row>
    <row r="285" spans="1:12" x14ac:dyDescent="0.35">
      <c r="A285" s="9" t="s">
        <v>49</v>
      </c>
      <c r="B285" s="2">
        <f>EXAMENES[[#This Row],[VALOR_UND]]*EXAMENES[[#This Row],[CANT_A_PAGAR]]</f>
        <v>30000</v>
      </c>
      <c r="C285" t="s">
        <v>50</v>
      </c>
      <c r="D285" t="s">
        <v>42</v>
      </c>
      <c r="E285" t="s">
        <v>768</v>
      </c>
      <c r="F285" t="s">
        <v>780</v>
      </c>
      <c r="G285" s="2">
        <v>30000</v>
      </c>
      <c r="H285" t="s">
        <v>786</v>
      </c>
      <c r="I285">
        <v>1</v>
      </c>
      <c r="J285" s="2">
        <v>30000</v>
      </c>
      <c r="K285">
        <v>61251007</v>
      </c>
      <c r="L285" t="s">
        <v>844</v>
      </c>
    </row>
    <row r="286" spans="1:12" x14ac:dyDescent="0.35">
      <c r="A286" s="9" t="s">
        <v>51</v>
      </c>
      <c r="B286" s="2">
        <f>EXAMENES[[#This Row],[VALOR_UND]]*EXAMENES[[#This Row],[CANT_A_PAGAR]]</f>
        <v>30000</v>
      </c>
      <c r="C286" t="s">
        <v>52</v>
      </c>
      <c r="D286" t="s">
        <v>42</v>
      </c>
      <c r="E286" t="s">
        <v>768</v>
      </c>
      <c r="F286" t="s">
        <v>780</v>
      </c>
      <c r="G286" s="2">
        <v>30000</v>
      </c>
      <c r="H286" t="s">
        <v>786</v>
      </c>
      <c r="I286">
        <v>1</v>
      </c>
      <c r="J286" s="2">
        <v>30000</v>
      </c>
      <c r="K286">
        <v>61251007</v>
      </c>
      <c r="L286" t="s">
        <v>844</v>
      </c>
    </row>
    <row r="287" spans="1:12" x14ac:dyDescent="0.35">
      <c r="A287" s="9" t="s">
        <v>53</v>
      </c>
      <c r="B287" s="2">
        <f>EXAMENES[[#This Row],[VALOR_UND]]*EXAMENES[[#This Row],[CANT_A_PAGAR]]</f>
        <v>30000</v>
      </c>
      <c r="C287" t="s">
        <v>54</v>
      </c>
      <c r="D287" t="s">
        <v>42</v>
      </c>
      <c r="E287" t="s">
        <v>768</v>
      </c>
      <c r="F287" t="s">
        <v>780</v>
      </c>
      <c r="G287" s="2">
        <v>30000</v>
      </c>
      <c r="H287" t="s">
        <v>786</v>
      </c>
      <c r="I287">
        <v>1</v>
      </c>
      <c r="J287" s="2">
        <v>30000</v>
      </c>
      <c r="K287">
        <v>61251007</v>
      </c>
      <c r="L287" t="s">
        <v>844</v>
      </c>
    </row>
    <row r="288" spans="1:12" x14ac:dyDescent="0.35">
      <c r="A288" s="9" t="s">
        <v>55</v>
      </c>
      <c r="B288" s="2">
        <f>EXAMENES[[#This Row],[VALOR_UND]]*EXAMENES[[#This Row],[CANT_A_PAGAR]]</f>
        <v>23500</v>
      </c>
      <c r="C288" t="s">
        <v>56</v>
      </c>
      <c r="D288" t="s">
        <v>42</v>
      </c>
      <c r="E288" t="s">
        <v>768</v>
      </c>
      <c r="F288" t="s">
        <v>779</v>
      </c>
      <c r="G288" s="2">
        <v>23500</v>
      </c>
      <c r="H288" t="s">
        <v>786</v>
      </c>
      <c r="I288">
        <v>1</v>
      </c>
      <c r="J288" s="2">
        <v>23500</v>
      </c>
      <c r="K288">
        <v>61251007</v>
      </c>
      <c r="L288" t="s">
        <v>844</v>
      </c>
    </row>
    <row r="289" spans="1:12" x14ac:dyDescent="0.35">
      <c r="A289" s="9" t="s">
        <v>57</v>
      </c>
      <c r="B289" s="2">
        <f>EXAMENES[[#This Row],[VALOR_UND]]*EXAMENES[[#This Row],[CANT_A_PAGAR]]</f>
        <v>23500</v>
      </c>
      <c r="C289" t="s">
        <v>58</v>
      </c>
      <c r="D289" t="s">
        <v>42</v>
      </c>
      <c r="E289" t="s">
        <v>768</v>
      </c>
      <c r="F289" t="s">
        <v>779</v>
      </c>
      <c r="G289" s="2">
        <v>23500</v>
      </c>
      <c r="H289" t="s">
        <v>786</v>
      </c>
      <c r="I289">
        <v>1</v>
      </c>
      <c r="J289" s="2">
        <v>23500</v>
      </c>
      <c r="K289">
        <v>61251007</v>
      </c>
      <c r="L289" t="s">
        <v>844</v>
      </c>
    </row>
    <row r="290" spans="1:12" x14ac:dyDescent="0.35">
      <c r="A290" s="9" t="s">
        <v>59</v>
      </c>
      <c r="B290" s="2">
        <f>EXAMENES[[#This Row],[VALOR_UND]]*EXAMENES[[#This Row],[CANT_A_PAGAR]]</f>
        <v>23500</v>
      </c>
      <c r="C290" t="s">
        <v>60</v>
      </c>
      <c r="D290" t="s">
        <v>42</v>
      </c>
      <c r="E290" t="s">
        <v>768</v>
      </c>
      <c r="F290" t="s">
        <v>779</v>
      </c>
      <c r="G290" s="2">
        <v>23500</v>
      </c>
      <c r="H290" t="s">
        <v>786</v>
      </c>
      <c r="I290">
        <v>1</v>
      </c>
      <c r="J290" s="2">
        <v>23500</v>
      </c>
      <c r="K290">
        <v>61251007</v>
      </c>
      <c r="L290" t="s">
        <v>844</v>
      </c>
    </row>
    <row r="291" spans="1:12" x14ac:dyDescent="0.35">
      <c r="A291" s="9" t="s">
        <v>61</v>
      </c>
      <c r="B291" s="2">
        <f>EXAMENES[[#This Row],[VALOR_UND]]*EXAMENES[[#This Row],[CANT_A_PAGAR]]</f>
        <v>30000</v>
      </c>
      <c r="C291" t="s">
        <v>62</v>
      </c>
      <c r="D291" t="s">
        <v>42</v>
      </c>
      <c r="E291" t="s">
        <v>768</v>
      </c>
      <c r="F291" t="s">
        <v>780</v>
      </c>
      <c r="G291" s="2">
        <v>30000</v>
      </c>
      <c r="H291" t="s">
        <v>786</v>
      </c>
      <c r="I291">
        <v>1</v>
      </c>
      <c r="J291" s="2">
        <v>30000</v>
      </c>
      <c r="K291">
        <v>61251007</v>
      </c>
      <c r="L291" t="s">
        <v>844</v>
      </c>
    </row>
    <row r="292" spans="1:12" x14ac:dyDescent="0.35">
      <c r="A292" s="9" t="s">
        <v>63</v>
      </c>
      <c r="B292" s="2">
        <f>EXAMENES[[#This Row],[VALOR_UND]]*EXAMENES[[#This Row],[CANT_A_PAGAR]]</f>
        <v>30000</v>
      </c>
      <c r="C292" t="s">
        <v>64</v>
      </c>
      <c r="D292" t="s">
        <v>42</v>
      </c>
      <c r="E292" t="s">
        <v>768</v>
      </c>
      <c r="F292" t="s">
        <v>780</v>
      </c>
      <c r="G292" s="2">
        <v>30000</v>
      </c>
      <c r="H292" t="s">
        <v>786</v>
      </c>
      <c r="I292">
        <v>1</v>
      </c>
      <c r="J292" s="2">
        <v>30000</v>
      </c>
      <c r="K292">
        <v>61251007</v>
      </c>
      <c r="L292" t="s">
        <v>844</v>
      </c>
    </row>
    <row r="293" spans="1:12" x14ac:dyDescent="0.35">
      <c r="A293" s="9" t="s">
        <v>65</v>
      </c>
      <c r="B293" s="2">
        <f>EXAMENES[[#This Row],[VALOR_UND]]*EXAMENES[[#This Row],[CANT_A_PAGAR]]</f>
        <v>30000</v>
      </c>
      <c r="C293" t="s">
        <v>66</v>
      </c>
      <c r="D293" t="s">
        <v>42</v>
      </c>
      <c r="E293" t="s">
        <v>768</v>
      </c>
      <c r="F293" t="s">
        <v>780</v>
      </c>
      <c r="G293" s="2">
        <v>30000</v>
      </c>
      <c r="H293" t="s">
        <v>786</v>
      </c>
      <c r="I293">
        <v>1</v>
      </c>
      <c r="J293" s="2">
        <v>30000</v>
      </c>
      <c r="K293">
        <v>61251007</v>
      </c>
      <c r="L293" t="s">
        <v>844</v>
      </c>
    </row>
    <row r="294" spans="1:12" x14ac:dyDescent="0.35">
      <c r="A294" s="9" t="s">
        <v>67</v>
      </c>
      <c r="B294" s="2">
        <f>EXAMENES[[#This Row],[VALOR_UND]]*EXAMENES[[#This Row],[CANT_A_PAGAR]]</f>
        <v>30000</v>
      </c>
      <c r="C294" t="s">
        <v>68</v>
      </c>
      <c r="D294" t="s">
        <v>42</v>
      </c>
      <c r="E294" t="s">
        <v>768</v>
      </c>
      <c r="F294" t="s">
        <v>780</v>
      </c>
      <c r="G294" s="2">
        <v>30000</v>
      </c>
      <c r="H294" t="s">
        <v>786</v>
      </c>
      <c r="I294">
        <v>1</v>
      </c>
      <c r="J294" s="2">
        <v>30000</v>
      </c>
      <c r="K294">
        <v>61251007</v>
      </c>
      <c r="L294" t="s">
        <v>844</v>
      </c>
    </row>
    <row r="295" spans="1:12" x14ac:dyDescent="0.35">
      <c r="A295" s="9" t="s">
        <v>69</v>
      </c>
      <c r="B295" s="2">
        <f>EXAMENES[[#This Row],[VALOR_UND]]*EXAMENES[[#This Row],[CANT_A_PAGAR]]</f>
        <v>23500</v>
      </c>
      <c r="C295" t="s">
        <v>70</v>
      </c>
      <c r="D295" t="s">
        <v>42</v>
      </c>
      <c r="E295" t="s">
        <v>768</v>
      </c>
      <c r="F295" t="s">
        <v>779</v>
      </c>
      <c r="G295" s="2">
        <v>23500</v>
      </c>
      <c r="H295" t="s">
        <v>786</v>
      </c>
      <c r="I295">
        <v>1</v>
      </c>
      <c r="J295" s="2">
        <v>23500</v>
      </c>
      <c r="K295">
        <v>61251007</v>
      </c>
      <c r="L295" t="s">
        <v>844</v>
      </c>
    </row>
    <row r="296" spans="1:12" x14ac:dyDescent="0.35">
      <c r="A296" s="9" t="s">
        <v>71</v>
      </c>
      <c r="B296" s="2">
        <f>EXAMENES[[#This Row],[VALOR_UND]]*EXAMENES[[#This Row],[CANT_A_PAGAR]]</f>
        <v>23500</v>
      </c>
      <c r="C296" t="s">
        <v>72</v>
      </c>
      <c r="D296" t="s">
        <v>42</v>
      </c>
      <c r="E296" t="s">
        <v>768</v>
      </c>
      <c r="F296" t="s">
        <v>779</v>
      </c>
      <c r="G296" s="2">
        <v>23500</v>
      </c>
      <c r="H296" t="s">
        <v>786</v>
      </c>
      <c r="I296">
        <v>1</v>
      </c>
      <c r="J296" s="2">
        <v>23500</v>
      </c>
      <c r="K296">
        <v>61251007</v>
      </c>
      <c r="L296" t="s">
        <v>844</v>
      </c>
    </row>
    <row r="297" spans="1:12" x14ac:dyDescent="0.35">
      <c r="A297" s="9" t="s">
        <v>73</v>
      </c>
      <c r="B297" s="2">
        <f>EXAMENES[[#This Row],[VALOR_UND]]*EXAMENES[[#This Row],[CANT_A_PAGAR]]</f>
        <v>23500</v>
      </c>
      <c r="C297" t="s">
        <v>74</v>
      </c>
      <c r="D297" t="s">
        <v>42</v>
      </c>
      <c r="E297" t="s">
        <v>768</v>
      </c>
      <c r="F297" t="s">
        <v>779</v>
      </c>
      <c r="G297" s="2">
        <v>23500</v>
      </c>
      <c r="H297" t="s">
        <v>786</v>
      </c>
      <c r="I297">
        <v>1</v>
      </c>
      <c r="J297" s="2">
        <v>23500</v>
      </c>
      <c r="K297">
        <v>61251007</v>
      </c>
      <c r="L297" t="s">
        <v>844</v>
      </c>
    </row>
    <row r="298" spans="1:12" x14ac:dyDescent="0.35">
      <c r="A298" s="9" t="s">
        <v>118</v>
      </c>
      <c r="B298" s="2">
        <f>EXAMENES[[#This Row],[VALOR_UND]]*EXAMENES[[#This Row],[CANT_A_PAGAR]]</f>
        <v>30000</v>
      </c>
      <c r="C298" t="s">
        <v>119</v>
      </c>
      <c r="D298" t="s">
        <v>42</v>
      </c>
      <c r="E298" t="s">
        <v>768</v>
      </c>
      <c r="F298" t="s">
        <v>780</v>
      </c>
      <c r="G298" s="2">
        <v>30000</v>
      </c>
      <c r="H298" t="s">
        <v>786</v>
      </c>
      <c r="I298">
        <v>1</v>
      </c>
      <c r="J298" s="2">
        <v>30000</v>
      </c>
      <c r="K298">
        <v>61251007</v>
      </c>
      <c r="L298" t="s">
        <v>844</v>
      </c>
    </row>
    <row r="299" spans="1:12" x14ac:dyDescent="0.35">
      <c r="A299" s="9" t="s">
        <v>120</v>
      </c>
      <c r="B299" s="2">
        <f>EXAMENES[[#This Row],[VALOR_UND]]*EXAMENES[[#This Row],[CANT_A_PAGAR]]</f>
        <v>30000</v>
      </c>
      <c r="C299" t="s">
        <v>121</v>
      </c>
      <c r="D299" t="s">
        <v>42</v>
      </c>
      <c r="E299" t="s">
        <v>768</v>
      </c>
      <c r="F299" t="s">
        <v>780</v>
      </c>
      <c r="G299" s="2">
        <v>30000</v>
      </c>
      <c r="H299" t="s">
        <v>786</v>
      </c>
      <c r="I299">
        <v>1</v>
      </c>
      <c r="J299" s="2">
        <v>30000</v>
      </c>
      <c r="K299">
        <v>61251007</v>
      </c>
      <c r="L299" t="s">
        <v>844</v>
      </c>
    </row>
    <row r="300" spans="1:12" s="15" customFormat="1" x14ac:dyDescent="0.35">
      <c r="A300" s="14" t="s">
        <v>122</v>
      </c>
      <c r="B300" s="16">
        <f>EXAMENES[[#This Row],[VALOR_UND]]*EXAMENES[[#This Row],[CANT_A_PAGAR]]</f>
        <v>52000</v>
      </c>
      <c r="C300" s="15" t="s">
        <v>123</v>
      </c>
      <c r="D300" s="15" t="s">
        <v>42</v>
      </c>
      <c r="E300" s="15" t="s">
        <v>768</v>
      </c>
      <c r="F300" s="15" t="s">
        <v>780</v>
      </c>
      <c r="G300" s="16">
        <v>52000</v>
      </c>
      <c r="H300" s="15" t="s">
        <v>786</v>
      </c>
      <c r="I300" s="15">
        <v>1</v>
      </c>
      <c r="J300" s="16">
        <v>52000</v>
      </c>
      <c r="K300" s="15">
        <v>61251007</v>
      </c>
      <c r="L300" s="15" t="s">
        <v>844</v>
      </c>
    </row>
    <row r="301" spans="1:12" x14ac:dyDescent="0.35">
      <c r="A301" s="9" t="s">
        <v>124</v>
      </c>
      <c r="B301" s="2">
        <f>EXAMENES[[#This Row],[VALOR_UND]]*EXAMENES[[#This Row],[CANT_A_PAGAR]]</f>
        <v>30000</v>
      </c>
      <c r="C301" t="s">
        <v>125</v>
      </c>
      <c r="D301" t="s">
        <v>42</v>
      </c>
      <c r="E301" t="s">
        <v>768</v>
      </c>
      <c r="F301" t="s">
        <v>780</v>
      </c>
      <c r="G301" s="2">
        <v>30000</v>
      </c>
      <c r="H301" t="s">
        <v>786</v>
      </c>
      <c r="I301">
        <v>1</v>
      </c>
      <c r="J301" s="2">
        <v>30000</v>
      </c>
      <c r="K301">
        <v>61251007</v>
      </c>
      <c r="L301" t="s">
        <v>844</v>
      </c>
    </row>
    <row r="302" spans="1:12" x14ac:dyDescent="0.35">
      <c r="A302" s="9" t="s">
        <v>126</v>
      </c>
      <c r="B302" s="2">
        <f>EXAMENES[[#This Row],[VALOR_UND]]*EXAMENES[[#This Row],[CANT_A_PAGAR]]</f>
        <v>30000</v>
      </c>
      <c r="C302" t="s">
        <v>127</v>
      </c>
      <c r="D302" t="s">
        <v>42</v>
      </c>
      <c r="E302" t="s">
        <v>768</v>
      </c>
      <c r="F302" t="s">
        <v>780</v>
      </c>
      <c r="G302" s="2">
        <v>30000</v>
      </c>
      <c r="H302" t="s">
        <v>786</v>
      </c>
      <c r="I302">
        <v>1</v>
      </c>
      <c r="J302" s="2">
        <v>30000</v>
      </c>
      <c r="K302">
        <v>61251007</v>
      </c>
      <c r="L302" t="s">
        <v>844</v>
      </c>
    </row>
    <row r="303" spans="1:12" x14ac:dyDescent="0.35">
      <c r="A303" s="9" t="s">
        <v>128</v>
      </c>
      <c r="B303" s="2">
        <f>EXAMENES[[#This Row],[VALOR_UND]]*EXAMENES[[#This Row],[CANT_A_PAGAR]]</f>
        <v>30000</v>
      </c>
      <c r="C303" t="s">
        <v>129</v>
      </c>
      <c r="D303" t="s">
        <v>42</v>
      </c>
      <c r="E303" t="s">
        <v>768</v>
      </c>
      <c r="F303" t="s">
        <v>780</v>
      </c>
      <c r="G303" s="2">
        <v>30000</v>
      </c>
      <c r="H303" t="s">
        <v>786</v>
      </c>
      <c r="I303">
        <v>1</v>
      </c>
      <c r="J303" s="2">
        <v>30000</v>
      </c>
      <c r="K303">
        <v>61251007</v>
      </c>
      <c r="L303" t="s">
        <v>844</v>
      </c>
    </row>
    <row r="304" spans="1:12" x14ac:dyDescent="0.35">
      <c r="A304" s="9" t="s">
        <v>138</v>
      </c>
      <c r="B304" s="2">
        <f>EXAMENES[[#This Row],[VALOR_UND]]*EXAMENES[[#This Row],[CANT_A_PAGAR]]</f>
        <v>23500</v>
      </c>
      <c r="C304" t="s">
        <v>139</v>
      </c>
      <c r="D304" t="s">
        <v>42</v>
      </c>
      <c r="E304" t="s">
        <v>768</v>
      </c>
      <c r="F304" t="s">
        <v>779</v>
      </c>
      <c r="G304" s="2">
        <v>23500</v>
      </c>
      <c r="H304" t="s">
        <v>786</v>
      </c>
      <c r="I304">
        <v>1</v>
      </c>
      <c r="J304" s="2">
        <v>23500</v>
      </c>
      <c r="K304">
        <v>61251007</v>
      </c>
      <c r="L304" t="s">
        <v>844</v>
      </c>
    </row>
    <row r="305" spans="1:12" x14ac:dyDescent="0.35">
      <c r="A305" s="9" t="s">
        <v>140</v>
      </c>
      <c r="B305" s="2">
        <f>EXAMENES[[#This Row],[VALOR_UND]]*EXAMENES[[#This Row],[CANT_A_PAGAR]]</f>
        <v>23500</v>
      </c>
      <c r="C305" t="s">
        <v>141</v>
      </c>
      <c r="D305" t="s">
        <v>42</v>
      </c>
      <c r="E305" t="s">
        <v>768</v>
      </c>
      <c r="F305" t="s">
        <v>779</v>
      </c>
      <c r="G305" s="2">
        <v>23500</v>
      </c>
      <c r="H305" t="s">
        <v>786</v>
      </c>
      <c r="I305">
        <v>1</v>
      </c>
      <c r="J305" s="2">
        <v>23500</v>
      </c>
      <c r="K305">
        <v>61251007</v>
      </c>
      <c r="L305" t="s">
        <v>844</v>
      </c>
    </row>
    <row r="306" spans="1:12" x14ac:dyDescent="0.35">
      <c r="A306" s="9" t="s">
        <v>142</v>
      </c>
      <c r="B306" s="2">
        <f>EXAMENES[[#This Row],[VALOR_UND]]*EXAMENES[[#This Row],[CANT_A_PAGAR]]</f>
        <v>23500</v>
      </c>
      <c r="C306" t="s">
        <v>143</v>
      </c>
      <c r="D306" t="s">
        <v>42</v>
      </c>
      <c r="E306" t="s">
        <v>768</v>
      </c>
      <c r="F306" t="s">
        <v>779</v>
      </c>
      <c r="G306" s="2">
        <v>23500</v>
      </c>
      <c r="H306" t="s">
        <v>786</v>
      </c>
      <c r="I306">
        <v>1</v>
      </c>
      <c r="J306" s="2">
        <v>23500</v>
      </c>
      <c r="K306">
        <v>61251007</v>
      </c>
      <c r="L306" t="s">
        <v>844</v>
      </c>
    </row>
    <row r="307" spans="1:12" x14ac:dyDescent="0.35">
      <c r="A307" s="9" t="s">
        <v>150</v>
      </c>
      <c r="B307" s="2">
        <f>EXAMENES[[#This Row],[VALOR_UND]]*EXAMENES[[#This Row],[CANT_A_PAGAR]]</f>
        <v>30000</v>
      </c>
      <c r="C307" t="s">
        <v>151</v>
      </c>
      <c r="D307" t="s">
        <v>42</v>
      </c>
      <c r="E307" t="s">
        <v>768</v>
      </c>
      <c r="F307" t="s">
        <v>780</v>
      </c>
      <c r="G307" s="2">
        <v>30000</v>
      </c>
      <c r="H307" t="s">
        <v>786</v>
      </c>
      <c r="I307">
        <v>1</v>
      </c>
      <c r="J307" s="2">
        <v>30000</v>
      </c>
      <c r="K307">
        <v>61251007</v>
      </c>
      <c r="L307" t="s">
        <v>844</v>
      </c>
    </row>
    <row r="308" spans="1:12" x14ac:dyDescent="0.35">
      <c r="A308" s="9" t="s">
        <v>152</v>
      </c>
      <c r="B308" s="2">
        <f>EXAMENES[[#This Row],[VALOR_UND]]*EXAMENES[[#This Row],[CANT_A_PAGAR]]</f>
        <v>23500</v>
      </c>
      <c r="C308" t="s">
        <v>153</v>
      </c>
      <c r="D308" t="s">
        <v>42</v>
      </c>
      <c r="E308" t="s">
        <v>768</v>
      </c>
      <c r="F308" t="s">
        <v>779</v>
      </c>
      <c r="G308" s="2">
        <v>23500</v>
      </c>
      <c r="H308" t="s">
        <v>786</v>
      </c>
      <c r="I308">
        <v>1</v>
      </c>
      <c r="J308" s="2">
        <v>23500</v>
      </c>
      <c r="K308">
        <v>61251007</v>
      </c>
      <c r="L308" t="s">
        <v>844</v>
      </c>
    </row>
    <row r="309" spans="1:12" x14ac:dyDescent="0.35">
      <c r="A309" s="9" t="s">
        <v>154</v>
      </c>
      <c r="B309" s="2">
        <f>EXAMENES[[#This Row],[VALOR_UND]]*EXAMENES[[#This Row],[CANT_A_PAGAR]]</f>
        <v>30000</v>
      </c>
      <c r="C309" t="s">
        <v>155</v>
      </c>
      <c r="D309" t="s">
        <v>42</v>
      </c>
      <c r="E309" t="s">
        <v>768</v>
      </c>
      <c r="F309" t="s">
        <v>780</v>
      </c>
      <c r="G309" s="2">
        <v>30000</v>
      </c>
      <c r="H309" t="s">
        <v>786</v>
      </c>
      <c r="I309">
        <v>1</v>
      </c>
      <c r="J309" s="2">
        <v>30000</v>
      </c>
      <c r="K309">
        <v>61251007</v>
      </c>
      <c r="L309" t="s">
        <v>844</v>
      </c>
    </row>
    <row r="310" spans="1:12" x14ac:dyDescent="0.35">
      <c r="A310" s="9" t="s">
        <v>158</v>
      </c>
      <c r="B310" s="2">
        <f>EXAMENES[[#This Row],[VALOR_UND]]*EXAMENES[[#This Row],[CANT_A_PAGAR]]</f>
        <v>23500</v>
      </c>
      <c r="C310" t="s">
        <v>159</v>
      </c>
      <c r="D310" t="s">
        <v>42</v>
      </c>
      <c r="E310" t="s">
        <v>768</v>
      </c>
      <c r="F310" t="s">
        <v>779</v>
      </c>
      <c r="G310" s="2">
        <v>23500</v>
      </c>
      <c r="H310" t="s">
        <v>786</v>
      </c>
      <c r="I310">
        <v>1</v>
      </c>
      <c r="J310" s="2">
        <v>23500</v>
      </c>
      <c r="K310">
        <v>61251007</v>
      </c>
      <c r="L310" t="s">
        <v>844</v>
      </c>
    </row>
    <row r="311" spans="1:12" x14ac:dyDescent="0.35">
      <c r="A311" s="9" t="s">
        <v>160</v>
      </c>
      <c r="B311" s="2">
        <f>EXAMENES[[#This Row],[VALOR_UND]]*EXAMENES[[#This Row],[CANT_A_PAGAR]]</f>
        <v>30000</v>
      </c>
      <c r="C311" t="s">
        <v>161</v>
      </c>
      <c r="D311" t="s">
        <v>42</v>
      </c>
      <c r="E311" t="s">
        <v>768</v>
      </c>
      <c r="F311" t="s">
        <v>780</v>
      </c>
      <c r="G311" s="2">
        <v>30000</v>
      </c>
      <c r="H311" t="s">
        <v>786</v>
      </c>
      <c r="I311">
        <v>1</v>
      </c>
      <c r="J311" s="2">
        <v>30000</v>
      </c>
      <c r="K311">
        <v>61251007</v>
      </c>
      <c r="L311" t="s">
        <v>844</v>
      </c>
    </row>
    <row r="312" spans="1:12" x14ac:dyDescent="0.35">
      <c r="A312" s="9" t="s">
        <v>162</v>
      </c>
      <c r="B312" s="2">
        <f>EXAMENES[[#This Row],[VALOR_UND]]*EXAMENES[[#This Row],[CANT_A_PAGAR]]</f>
        <v>23500</v>
      </c>
      <c r="C312" t="s">
        <v>163</v>
      </c>
      <c r="D312" t="s">
        <v>42</v>
      </c>
      <c r="E312" t="s">
        <v>768</v>
      </c>
      <c r="F312" t="s">
        <v>779</v>
      </c>
      <c r="G312" s="2">
        <v>23500</v>
      </c>
      <c r="H312" t="s">
        <v>786</v>
      </c>
      <c r="I312">
        <v>1</v>
      </c>
      <c r="J312" s="2">
        <v>23500</v>
      </c>
      <c r="K312">
        <v>61251007</v>
      </c>
      <c r="L312" t="s">
        <v>844</v>
      </c>
    </row>
    <row r="313" spans="1:12" x14ac:dyDescent="0.35">
      <c r="A313" s="9" t="s">
        <v>164</v>
      </c>
      <c r="B313" s="2">
        <f>EXAMENES[[#This Row],[VALOR_UND]]*EXAMENES[[#This Row],[CANT_A_PAGAR]]</f>
        <v>30000</v>
      </c>
      <c r="C313" t="s">
        <v>165</v>
      </c>
      <c r="D313" t="s">
        <v>42</v>
      </c>
      <c r="E313" t="s">
        <v>768</v>
      </c>
      <c r="F313" t="s">
        <v>780</v>
      </c>
      <c r="G313" s="2">
        <v>30000</v>
      </c>
      <c r="H313" t="s">
        <v>786</v>
      </c>
      <c r="I313">
        <v>1</v>
      </c>
      <c r="J313" s="2">
        <v>30000</v>
      </c>
      <c r="K313">
        <v>61251007</v>
      </c>
      <c r="L313" t="s">
        <v>844</v>
      </c>
    </row>
    <row r="314" spans="1:12" x14ac:dyDescent="0.35">
      <c r="A314" s="9" t="s">
        <v>166</v>
      </c>
      <c r="B314" s="2">
        <f>EXAMENES[[#This Row],[VALOR_UND]]*EXAMENES[[#This Row],[CANT_A_PAGAR]]</f>
        <v>23500</v>
      </c>
      <c r="C314" t="s">
        <v>167</v>
      </c>
      <c r="D314" t="s">
        <v>42</v>
      </c>
      <c r="E314" t="s">
        <v>768</v>
      </c>
      <c r="F314" t="s">
        <v>779</v>
      </c>
      <c r="G314" s="2">
        <v>23500</v>
      </c>
      <c r="H314" t="s">
        <v>786</v>
      </c>
      <c r="I314">
        <v>1</v>
      </c>
      <c r="J314" s="2">
        <v>23500</v>
      </c>
      <c r="K314">
        <v>61251007</v>
      </c>
      <c r="L314" t="s">
        <v>844</v>
      </c>
    </row>
    <row r="315" spans="1:12" x14ac:dyDescent="0.35">
      <c r="A315" s="9" t="s">
        <v>168</v>
      </c>
      <c r="B315" s="2">
        <f>EXAMENES[[#This Row],[VALOR_UND]]*EXAMENES[[#This Row],[CANT_A_PAGAR]]</f>
        <v>30000</v>
      </c>
      <c r="C315" t="s">
        <v>169</v>
      </c>
      <c r="D315" t="s">
        <v>42</v>
      </c>
      <c r="E315" t="s">
        <v>768</v>
      </c>
      <c r="F315" t="s">
        <v>780</v>
      </c>
      <c r="G315" s="2">
        <v>30000</v>
      </c>
      <c r="H315" t="s">
        <v>786</v>
      </c>
      <c r="I315">
        <v>1</v>
      </c>
      <c r="J315" s="2">
        <v>30000</v>
      </c>
      <c r="K315">
        <v>61251007</v>
      </c>
      <c r="L315" t="s">
        <v>844</v>
      </c>
    </row>
    <row r="316" spans="1:12" x14ac:dyDescent="0.35">
      <c r="A316" s="9" t="s">
        <v>170</v>
      </c>
      <c r="B316" s="2">
        <f>EXAMENES[[#This Row],[VALOR_UND]]*EXAMENES[[#This Row],[CANT_A_PAGAR]]</f>
        <v>23500</v>
      </c>
      <c r="C316" t="s">
        <v>171</v>
      </c>
      <c r="D316" t="s">
        <v>42</v>
      </c>
      <c r="E316" t="s">
        <v>768</v>
      </c>
      <c r="F316" t="s">
        <v>779</v>
      </c>
      <c r="G316" s="2">
        <v>23500</v>
      </c>
      <c r="H316" t="s">
        <v>786</v>
      </c>
      <c r="I316">
        <v>1</v>
      </c>
      <c r="J316" s="2">
        <v>23500</v>
      </c>
      <c r="K316">
        <v>61251007</v>
      </c>
      <c r="L316" t="s">
        <v>844</v>
      </c>
    </row>
    <row r="317" spans="1:12" x14ac:dyDescent="0.35">
      <c r="A317" s="9" t="s">
        <v>172</v>
      </c>
      <c r="B317" s="2">
        <f>EXAMENES[[#This Row],[VALOR_UND]]*EXAMENES[[#This Row],[CANT_A_PAGAR]]</f>
        <v>30000</v>
      </c>
      <c r="C317" t="s">
        <v>173</v>
      </c>
      <c r="D317" t="s">
        <v>42</v>
      </c>
      <c r="E317" t="s">
        <v>768</v>
      </c>
      <c r="F317" t="s">
        <v>780</v>
      </c>
      <c r="G317" s="2">
        <v>30000</v>
      </c>
      <c r="H317" t="s">
        <v>786</v>
      </c>
      <c r="I317">
        <v>1</v>
      </c>
      <c r="J317" s="2">
        <v>30000</v>
      </c>
      <c r="K317">
        <v>61251007</v>
      </c>
      <c r="L317" t="s">
        <v>844</v>
      </c>
    </row>
    <row r="318" spans="1:12" x14ac:dyDescent="0.35">
      <c r="A318" s="9" t="s">
        <v>174</v>
      </c>
      <c r="B318" s="2">
        <f>EXAMENES[[#This Row],[VALOR_UND]]*EXAMENES[[#This Row],[CANT_A_PAGAR]]</f>
        <v>23500</v>
      </c>
      <c r="C318" t="s">
        <v>175</v>
      </c>
      <c r="D318" t="s">
        <v>42</v>
      </c>
      <c r="E318" t="s">
        <v>768</v>
      </c>
      <c r="F318" t="s">
        <v>779</v>
      </c>
      <c r="G318" s="2">
        <v>23500</v>
      </c>
      <c r="H318" t="s">
        <v>786</v>
      </c>
      <c r="I318">
        <v>1</v>
      </c>
      <c r="J318" s="2">
        <v>23500</v>
      </c>
      <c r="K318">
        <v>61251007</v>
      </c>
      <c r="L318" t="s">
        <v>844</v>
      </c>
    </row>
    <row r="319" spans="1:12" x14ac:dyDescent="0.35">
      <c r="A319" s="9" t="s">
        <v>176</v>
      </c>
      <c r="B319" s="2">
        <f>EXAMENES[[#This Row],[VALOR_UND]]*EXAMENES[[#This Row],[CANT_A_PAGAR]]</f>
        <v>30000</v>
      </c>
      <c r="C319" t="s">
        <v>177</v>
      </c>
      <c r="D319" t="s">
        <v>42</v>
      </c>
      <c r="E319" t="s">
        <v>768</v>
      </c>
      <c r="F319" t="s">
        <v>780</v>
      </c>
      <c r="G319" s="2">
        <v>30000</v>
      </c>
      <c r="H319" t="s">
        <v>786</v>
      </c>
      <c r="I319">
        <v>1</v>
      </c>
      <c r="J319" s="2">
        <v>30000</v>
      </c>
      <c r="K319">
        <v>61251007</v>
      </c>
      <c r="L319" t="s">
        <v>844</v>
      </c>
    </row>
    <row r="320" spans="1:12" x14ac:dyDescent="0.35">
      <c r="A320" s="9" t="s">
        <v>178</v>
      </c>
      <c r="B320" s="2">
        <f>EXAMENES[[#This Row],[VALOR_UND]]*EXAMENES[[#This Row],[CANT_A_PAGAR]]</f>
        <v>23500</v>
      </c>
      <c r="C320" t="s">
        <v>179</v>
      </c>
      <c r="D320" t="s">
        <v>42</v>
      </c>
      <c r="E320" t="s">
        <v>768</v>
      </c>
      <c r="F320" t="s">
        <v>779</v>
      </c>
      <c r="G320" s="2">
        <v>23500</v>
      </c>
      <c r="H320" t="s">
        <v>786</v>
      </c>
      <c r="I320">
        <v>1</v>
      </c>
      <c r="J320" s="2">
        <v>23500</v>
      </c>
      <c r="K320">
        <v>61251007</v>
      </c>
      <c r="L320" t="s">
        <v>844</v>
      </c>
    </row>
    <row r="321" spans="1:12" x14ac:dyDescent="0.35">
      <c r="A321" s="9" t="s">
        <v>180</v>
      </c>
      <c r="B321" s="2">
        <f>EXAMENES[[#This Row],[VALOR_UND]]*EXAMENES[[#This Row],[CANT_A_PAGAR]]</f>
        <v>30000</v>
      </c>
      <c r="C321" t="s">
        <v>181</v>
      </c>
      <c r="D321" t="s">
        <v>42</v>
      </c>
      <c r="E321" t="s">
        <v>768</v>
      </c>
      <c r="F321" t="s">
        <v>780</v>
      </c>
      <c r="G321" s="2">
        <v>30000</v>
      </c>
      <c r="H321" t="s">
        <v>786</v>
      </c>
      <c r="I321">
        <v>1</v>
      </c>
      <c r="J321" s="2">
        <v>30000</v>
      </c>
      <c r="K321">
        <v>61251007</v>
      </c>
      <c r="L321" t="s">
        <v>844</v>
      </c>
    </row>
    <row r="322" spans="1:12" x14ac:dyDescent="0.35">
      <c r="A322" s="9" t="s">
        <v>182</v>
      </c>
      <c r="B322" s="2">
        <f>EXAMENES[[#This Row],[VALOR_UND]]*EXAMENES[[#This Row],[CANT_A_PAGAR]]</f>
        <v>30000</v>
      </c>
      <c r="C322" t="s">
        <v>183</v>
      </c>
      <c r="D322" t="s">
        <v>42</v>
      </c>
      <c r="E322" t="s">
        <v>768</v>
      </c>
      <c r="F322" t="s">
        <v>780</v>
      </c>
      <c r="G322" s="2">
        <v>30000</v>
      </c>
      <c r="H322" t="s">
        <v>786</v>
      </c>
      <c r="I322">
        <v>1</v>
      </c>
      <c r="J322" s="2">
        <v>30000</v>
      </c>
      <c r="K322">
        <v>61251007</v>
      </c>
      <c r="L322" t="s">
        <v>844</v>
      </c>
    </row>
    <row r="323" spans="1:12" x14ac:dyDescent="0.35">
      <c r="A323" s="9" t="s">
        <v>184</v>
      </c>
      <c r="B323" s="2">
        <f>EXAMENES[[#This Row],[VALOR_UND]]*EXAMENES[[#This Row],[CANT_A_PAGAR]]</f>
        <v>23500</v>
      </c>
      <c r="C323" t="s">
        <v>185</v>
      </c>
      <c r="D323" t="s">
        <v>42</v>
      </c>
      <c r="E323" t="s">
        <v>768</v>
      </c>
      <c r="F323" t="s">
        <v>779</v>
      </c>
      <c r="G323" s="2">
        <v>23500</v>
      </c>
      <c r="H323" t="s">
        <v>786</v>
      </c>
      <c r="I323">
        <v>1</v>
      </c>
      <c r="J323" s="2">
        <v>23500</v>
      </c>
      <c r="K323">
        <v>61251007</v>
      </c>
      <c r="L323" t="s">
        <v>844</v>
      </c>
    </row>
    <row r="324" spans="1:12" x14ac:dyDescent="0.35">
      <c r="A324" s="9" t="s">
        <v>186</v>
      </c>
      <c r="B324" s="2">
        <f>EXAMENES[[#This Row],[VALOR_UND]]*EXAMENES[[#This Row],[CANT_A_PAGAR]]</f>
        <v>23500</v>
      </c>
      <c r="C324" t="s">
        <v>187</v>
      </c>
      <c r="D324" t="s">
        <v>42</v>
      </c>
      <c r="E324" t="s">
        <v>768</v>
      </c>
      <c r="F324" t="s">
        <v>779</v>
      </c>
      <c r="G324" s="2">
        <v>23500</v>
      </c>
      <c r="H324" t="s">
        <v>786</v>
      </c>
      <c r="I324">
        <v>1</v>
      </c>
      <c r="J324" s="2">
        <v>23500</v>
      </c>
      <c r="K324">
        <v>61251007</v>
      </c>
      <c r="L324" t="s">
        <v>844</v>
      </c>
    </row>
    <row r="325" spans="1:12" x14ac:dyDescent="0.35">
      <c r="A325" s="9" t="s">
        <v>188</v>
      </c>
      <c r="B325" s="2">
        <f>EXAMENES[[#This Row],[VALOR_UND]]*EXAMENES[[#This Row],[CANT_A_PAGAR]]</f>
        <v>30000</v>
      </c>
      <c r="C325" t="s">
        <v>189</v>
      </c>
      <c r="D325" t="s">
        <v>42</v>
      </c>
      <c r="E325" t="s">
        <v>768</v>
      </c>
      <c r="F325" t="s">
        <v>780</v>
      </c>
      <c r="G325" s="2">
        <v>30000</v>
      </c>
      <c r="H325" t="s">
        <v>786</v>
      </c>
      <c r="I325">
        <v>1</v>
      </c>
      <c r="J325" s="2">
        <v>30000</v>
      </c>
      <c r="K325">
        <v>61251007</v>
      </c>
      <c r="L325" t="s">
        <v>844</v>
      </c>
    </row>
    <row r="326" spans="1:12" x14ac:dyDescent="0.35">
      <c r="A326" s="9" t="s">
        <v>190</v>
      </c>
      <c r="B326" s="2">
        <f>EXAMENES[[#This Row],[VALOR_UND]]*EXAMENES[[#This Row],[CANT_A_PAGAR]]</f>
        <v>30000</v>
      </c>
      <c r="C326" t="s">
        <v>191</v>
      </c>
      <c r="D326" t="s">
        <v>42</v>
      </c>
      <c r="E326" t="s">
        <v>768</v>
      </c>
      <c r="F326" t="s">
        <v>780</v>
      </c>
      <c r="G326" s="2">
        <v>30000</v>
      </c>
      <c r="H326" t="s">
        <v>786</v>
      </c>
      <c r="I326">
        <v>1</v>
      </c>
      <c r="J326" s="2">
        <v>30000</v>
      </c>
      <c r="K326">
        <v>61251007</v>
      </c>
      <c r="L326" t="s">
        <v>844</v>
      </c>
    </row>
    <row r="327" spans="1:12" x14ac:dyDescent="0.35">
      <c r="A327" s="9" t="s">
        <v>192</v>
      </c>
      <c r="B327" s="2">
        <f>EXAMENES[[#This Row],[VALOR_UND]]*EXAMENES[[#This Row],[CANT_A_PAGAR]]</f>
        <v>23500</v>
      </c>
      <c r="C327" t="s">
        <v>193</v>
      </c>
      <c r="D327" t="s">
        <v>42</v>
      </c>
      <c r="E327" t="s">
        <v>768</v>
      </c>
      <c r="F327" t="s">
        <v>779</v>
      </c>
      <c r="G327" s="2">
        <v>23500</v>
      </c>
      <c r="H327" t="s">
        <v>786</v>
      </c>
      <c r="I327">
        <v>1</v>
      </c>
      <c r="J327" s="2">
        <v>23500</v>
      </c>
      <c r="K327">
        <v>61251007</v>
      </c>
      <c r="L327" t="s">
        <v>844</v>
      </c>
    </row>
    <row r="328" spans="1:12" x14ac:dyDescent="0.35">
      <c r="A328" s="9" t="s">
        <v>194</v>
      </c>
      <c r="B328" s="2">
        <f>EXAMENES[[#This Row],[VALOR_UND]]*EXAMENES[[#This Row],[CANT_A_PAGAR]]</f>
        <v>23500</v>
      </c>
      <c r="C328" t="s">
        <v>195</v>
      </c>
      <c r="D328" t="s">
        <v>42</v>
      </c>
      <c r="E328" t="s">
        <v>768</v>
      </c>
      <c r="F328" t="s">
        <v>779</v>
      </c>
      <c r="G328" s="2">
        <v>23500</v>
      </c>
      <c r="H328" t="s">
        <v>786</v>
      </c>
      <c r="I328">
        <v>1</v>
      </c>
      <c r="J328" s="2">
        <v>23500</v>
      </c>
      <c r="K328">
        <v>61251007</v>
      </c>
      <c r="L328" t="s">
        <v>844</v>
      </c>
    </row>
    <row r="329" spans="1:12" x14ac:dyDescent="0.35">
      <c r="A329" s="9" t="s">
        <v>196</v>
      </c>
      <c r="B329" s="2">
        <f>EXAMENES[[#This Row],[VALOR_UND]]*EXAMENES[[#This Row],[CANT_A_PAGAR]]</f>
        <v>30000</v>
      </c>
      <c r="C329" t="s">
        <v>197</v>
      </c>
      <c r="D329" t="s">
        <v>42</v>
      </c>
      <c r="E329" t="s">
        <v>768</v>
      </c>
      <c r="F329" t="s">
        <v>780</v>
      </c>
      <c r="G329" s="2">
        <v>30000</v>
      </c>
      <c r="H329" t="s">
        <v>786</v>
      </c>
      <c r="I329">
        <v>1</v>
      </c>
      <c r="J329" s="2">
        <v>30000</v>
      </c>
      <c r="K329">
        <v>61251007</v>
      </c>
      <c r="L329" t="s">
        <v>844</v>
      </c>
    </row>
    <row r="330" spans="1:12" x14ac:dyDescent="0.35">
      <c r="A330" s="9" t="s">
        <v>198</v>
      </c>
      <c r="B330" s="2">
        <f>EXAMENES[[#This Row],[VALOR_UND]]*EXAMENES[[#This Row],[CANT_A_PAGAR]]</f>
        <v>30000</v>
      </c>
      <c r="C330" t="s">
        <v>199</v>
      </c>
      <c r="D330" t="s">
        <v>42</v>
      </c>
      <c r="E330" t="s">
        <v>768</v>
      </c>
      <c r="F330" t="s">
        <v>780</v>
      </c>
      <c r="G330" s="2">
        <v>30000</v>
      </c>
      <c r="H330" t="s">
        <v>786</v>
      </c>
      <c r="I330">
        <v>1</v>
      </c>
      <c r="J330" s="2">
        <v>30000</v>
      </c>
      <c r="K330">
        <v>61251007</v>
      </c>
      <c r="L330" t="s">
        <v>844</v>
      </c>
    </row>
    <row r="331" spans="1:12" x14ac:dyDescent="0.35">
      <c r="A331" s="9" t="s">
        <v>202</v>
      </c>
      <c r="B331" s="2">
        <f>EXAMENES[[#This Row],[VALOR_UND]]*EXAMENES[[#This Row],[CANT_A_PAGAR]]</f>
        <v>30000</v>
      </c>
      <c r="C331" t="s">
        <v>203</v>
      </c>
      <c r="D331" t="s">
        <v>42</v>
      </c>
      <c r="E331" t="s">
        <v>768</v>
      </c>
      <c r="F331" t="s">
        <v>780</v>
      </c>
      <c r="G331" s="2">
        <v>30000</v>
      </c>
      <c r="H331" t="s">
        <v>786</v>
      </c>
      <c r="I331">
        <v>1</v>
      </c>
      <c r="J331" s="2">
        <v>30000</v>
      </c>
      <c r="K331">
        <v>61251007</v>
      </c>
      <c r="L331" t="s">
        <v>844</v>
      </c>
    </row>
    <row r="332" spans="1:12" x14ac:dyDescent="0.35">
      <c r="A332" s="9" t="s">
        <v>204</v>
      </c>
      <c r="B332" s="2">
        <f>EXAMENES[[#This Row],[VALOR_UND]]*EXAMENES[[#This Row],[CANT_A_PAGAR]]</f>
        <v>30000</v>
      </c>
      <c r="C332" t="s">
        <v>205</v>
      </c>
      <c r="D332" t="s">
        <v>42</v>
      </c>
      <c r="E332" t="s">
        <v>768</v>
      </c>
      <c r="F332" t="s">
        <v>780</v>
      </c>
      <c r="G332" s="2">
        <v>30000</v>
      </c>
      <c r="H332" t="s">
        <v>786</v>
      </c>
      <c r="I332">
        <v>1</v>
      </c>
      <c r="J332" s="2">
        <v>30000</v>
      </c>
      <c r="K332">
        <v>61251007</v>
      </c>
      <c r="L332" t="s">
        <v>844</v>
      </c>
    </row>
    <row r="333" spans="1:12" x14ac:dyDescent="0.35">
      <c r="A333" s="9" t="s">
        <v>206</v>
      </c>
      <c r="B333" s="2">
        <f>EXAMENES[[#This Row],[VALOR_UND]]*EXAMENES[[#This Row],[CANT_A_PAGAR]]</f>
        <v>30000</v>
      </c>
      <c r="C333" t="s">
        <v>207</v>
      </c>
      <c r="D333" t="s">
        <v>42</v>
      </c>
      <c r="E333" t="s">
        <v>768</v>
      </c>
      <c r="F333" t="s">
        <v>780</v>
      </c>
      <c r="G333" s="2">
        <v>30000</v>
      </c>
      <c r="H333" t="s">
        <v>786</v>
      </c>
      <c r="I333">
        <v>1</v>
      </c>
      <c r="J333" s="2">
        <v>30000</v>
      </c>
      <c r="K333">
        <v>61251007</v>
      </c>
      <c r="L333" t="s">
        <v>844</v>
      </c>
    </row>
    <row r="334" spans="1:12" x14ac:dyDescent="0.35">
      <c r="A334" s="9" t="s">
        <v>208</v>
      </c>
      <c r="B334" s="2">
        <f>EXAMENES[[#This Row],[VALOR_UND]]*EXAMENES[[#This Row],[CANT_A_PAGAR]]</f>
        <v>30000</v>
      </c>
      <c r="C334" t="s">
        <v>209</v>
      </c>
      <c r="D334" t="s">
        <v>42</v>
      </c>
      <c r="E334" t="s">
        <v>768</v>
      </c>
      <c r="F334" t="s">
        <v>780</v>
      </c>
      <c r="G334" s="2">
        <v>30000</v>
      </c>
      <c r="H334" t="s">
        <v>786</v>
      </c>
      <c r="I334">
        <v>1</v>
      </c>
      <c r="J334" s="2">
        <v>30000</v>
      </c>
      <c r="K334">
        <v>61251007</v>
      </c>
      <c r="L334" t="s">
        <v>844</v>
      </c>
    </row>
    <row r="335" spans="1:12" x14ac:dyDescent="0.35">
      <c r="A335" s="9" t="s">
        <v>210</v>
      </c>
      <c r="B335" s="2">
        <f>EXAMENES[[#This Row],[VALOR_UND]]*EXAMENES[[#This Row],[CANT_A_PAGAR]]</f>
        <v>30000</v>
      </c>
      <c r="C335" t="s">
        <v>211</v>
      </c>
      <c r="D335" t="s">
        <v>42</v>
      </c>
      <c r="E335" t="s">
        <v>768</v>
      </c>
      <c r="F335" t="s">
        <v>780</v>
      </c>
      <c r="G335" s="2">
        <v>30000</v>
      </c>
      <c r="H335" t="s">
        <v>786</v>
      </c>
      <c r="I335">
        <v>1</v>
      </c>
      <c r="J335" s="2">
        <v>30000</v>
      </c>
      <c r="K335">
        <v>61251007</v>
      </c>
      <c r="L335" t="s">
        <v>844</v>
      </c>
    </row>
    <row r="336" spans="1:12" x14ac:dyDescent="0.35">
      <c r="A336" s="9" t="s">
        <v>212</v>
      </c>
      <c r="B336" s="2">
        <f>EXAMENES[[#This Row],[VALOR_UND]]*EXAMENES[[#This Row],[CANT_A_PAGAR]]</f>
        <v>30000</v>
      </c>
      <c r="C336" t="s">
        <v>213</v>
      </c>
      <c r="D336" t="s">
        <v>42</v>
      </c>
      <c r="E336" t="s">
        <v>768</v>
      </c>
      <c r="F336" t="s">
        <v>780</v>
      </c>
      <c r="G336" s="2">
        <v>30000</v>
      </c>
      <c r="H336" t="s">
        <v>786</v>
      </c>
      <c r="I336">
        <v>1</v>
      </c>
      <c r="J336" s="2">
        <v>30000</v>
      </c>
      <c r="K336">
        <v>61251007</v>
      </c>
      <c r="L336" t="s">
        <v>844</v>
      </c>
    </row>
    <row r="337" spans="1:12" x14ac:dyDescent="0.35">
      <c r="A337" s="9" t="s">
        <v>214</v>
      </c>
      <c r="B337" s="2">
        <f>EXAMENES[[#This Row],[VALOR_UND]]*EXAMENES[[#This Row],[CANT_A_PAGAR]]</f>
        <v>30000</v>
      </c>
      <c r="C337" t="s">
        <v>215</v>
      </c>
      <c r="D337" t="s">
        <v>42</v>
      </c>
      <c r="E337" t="s">
        <v>768</v>
      </c>
      <c r="F337" t="s">
        <v>780</v>
      </c>
      <c r="G337" s="2">
        <v>30000</v>
      </c>
      <c r="H337" t="s">
        <v>786</v>
      </c>
      <c r="I337">
        <v>1</v>
      </c>
      <c r="J337" s="2">
        <v>30000</v>
      </c>
      <c r="K337">
        <v>61251007</v>
      </c>
      <c r="L337" t="s">
        <v>844</v>
      </c>
    </row>
    <row r="338" spans="1:12" x14ac:dyDescent="0.35">
      <c r="A338" s="9" t="s">
        <v>216</v>
      </c>
      <c r="B338" s="2">
        <f>EXAMENES[[#This Row],[VALOR_UND]]*EXAMENES[[#This Row],[CANT_A_PAGAR]]</f>
        <v>30000</v>
      </c>
      <c r="C338" t="s">
        <v>217</v>
      </c>
      <c r="D338" t="s">
        <v>42</v>
      </c>
      <c r="E338" t="s">
        <v>768</v>
      </c>
      <c r="F338" t="s">
        <v>780</v>
      </c>
      <c r="G338" s="2">
        <v>30000</v>
      </c>
      <c r="H338" t="s">
        <v>786</v>
      </c>
      <c r="I338">
        <v>1</v>
      </c>
      <c r="J338" s="2">
        <v>30000</v>
      </c>
      <c r="K338">
        <v>61251007</v>
      </c>
      <c r="L338" t="s">
        <v>844</v>
      </c>
    </row>
    <row r="339" spans="1:12" x14ac:dyDescent="0.35">
      <c r="A339" s="9">
        <v>871403</v>
      </c>
      <c r="B339" s="2">
        <f>EXAMENES[[#This Row],[VALOR_UND]]*EXAMENES[[#This Row],[CANT_A_PAGAR]]</f>
        <v>23500</v>
      </c>
      <c r="C339" t="s">
        <v>339</v>
      </c>
      <c r="D339" t="s">
        <v>42</v>
      </c>
      <c r="E339" t="s">
        <v>768</v>
      </c>
      <c r="F339" t="s">
        <v>779</v>
      </c>
      <c r="G339" s="2">
        <v>23500</v>
      </c>
      <c r="H339" t="s">
        <v>786</v>
      </c>
      <c r="I339">
        <v>1</v>
      </c>
      <c r="J339" s="2">
        <v>23500</v>
      </c>
      <c r="K339">
        <v>61251007</v>
      </c>
      <c r="L339" t="s">
        <v>844</v>
      </c>
    </row>
    <row r="340" spans="1:12" x14ac:dyDescent="0.35">
      <c r="A340" s="9">
        <v>879111</v>
      </c>
      <c r="B340" s="2">
        <f>EXAMENES[[#This Row],[VALOR_UND]]*EXAMENES[[#This Row],[CANT_A_PAGAR]]</f>
        <v>23500</v>
      </c>
      <c r="C340" t="s">
        <v>457</v>
      </c>
      <c r="D340" t="s">
        <v>42</v>
      </c>
      <c r="E340" t="s">
        <v>768</v>
      </c>
      <c r="F340" t="s">
        <v>779</v>
      </c>
      <c r="G340" s="2">
        <v>23500</v>
      </c>
      <c r="H340" t="s">
        <v>786</v>
      </c>
      <c r="I340">
        <v>1</v>
      </c>
      <c r="J340" s="2">
        <v>23500</v>
      </c>
      <c r="K340">
        <v>61251007</v>
      </c>
      <c r="L340" t="s">
        <v>844</v>
      </c>
    </row>
    <row r="341" spans="1:12" x14ac:dyDescent="0.35">
      <c r="A341" s="9">
        <v>879112</v>
      </c>
      <c r="B341" s="2">
        <f>EXAMENES[[#This Row],[VALOR_UND]]*EXAMENES[[#This Row],[CANT_A_PAGAR]]</f>
        <v>30000</v>
      </c>
      <c r="C341" t="s">
        <v>459</v>
      </c>
      <c r="D341" t="s">
        <v>42</v>
      </c>
      <c r="E341" t="s">
        <v>768</v>
      </c>
      <c r="F341" t="s">
        <v>780</v>
      </c>
      <c r="G341" s="2">
        <v>30000</v>
      </c>
      <c r="H341" t="s">
        <v>786</v>
      </c>
      <c r="I341">
        <v>1</v>
      </c>
      <c r="J341" s="2">
        <v>30000</v>
      </c>
      <c r="K341">
        <v>61251007</v>
      </c>
      <c r="L341" t="s">
        <v>844</v>
      </c>
    </row>
    <row r="342" spans="1:12" x14ac:dyDescent="0.35">
      <c r="A342" s="9">
        <v>879113</v>
      </c>
      <c r="B342" s="2">
        <f>EXAMENES[[#This Row],[VALOR_UND]]*EXAMENES[[#This Row],[CANT_A_PAGAR]]</f>
        <v>30000</v>
      </c>
      <c r="C342" t="s">
        <v>461</v>
      </c>
      <c r="D342" t="s">
        <v>42</v>
      </c>
      <c r="E342" t="s">
        <v>768</v>
      </c>
      <c r="F342" t="s">
        <v>780</v>
      </c>
      <c r="G342" s="2">
        <v>30000</v>
      </c>
      <c r="H342" t="s">
        <v>786</v>
      </c>
      <c r="I342">
        <v>1</v>
      </c>
      <c r="J342" s="2">
        <v>30000</v>
      </c>
      <c r="K342">
        <v>61251007</v>
      </c>
      <c r="L342" t="s">
        <v>844</v>
      </c>
    </row>
    <row r="343" spans="1:12" x14ac:dyDescent="0.35">
      <c r="A343" s="9">
        <v>879116</v>
      </c>
      <c r="B343" s="2">
        <f>EXAMENES[[#This Row],[VALOR_UND]]*EXAMENES[[#This Row],[CANT_A_PAGAR]]</f>
        <v>23500</v>
      </c>
      <c r="C343" t="s">
        <v>463</v>
      </c>
      <c r="D343" t="s">
        <v>42</v>
      </c>
      <c r="E343" t="s">
        <v>768</v>
      </c>
      <c r="F343" t="s">
        <v>779</v>
      </c>
      <c r="G343" s="2">
        <v>23500</v>
      </c>
      <c r="H343" t="s">
        <v>786</v>
      </c>
      <c r="I343">
        <v>1</v>
      </c>
      <c r="J343" s="2">
        <v>23500</v>
      </c>
      <c r="K343">
        <v>61251007</v>
      </c>
      <c r="L343" t="s">
        <v>844</v>
      </c>
    </row>
    <row r="344" spans="1:12" x14ac:dyDescent="0.35">
      <c r="A344" s="9">
        <v>879121</v>
      </c>
      <c r="B344" s="2">
        <f>EXAMENES[[#This Row],[VALOR_UND]]*EXAMENES[[#This Row],[CANT_A_PAGAR]]</f>
        <v>23500</v>
      </c>
      <c r="C344" t="s">
        <v>465</v>
      </c>
      <c r="D344" t="s">
        <v>42</v>
      </c>
      <c r="E344" t="s">
        <v>768</v>
      </c>
      <c r="F344" t="s">
        <v>779</v>
      </c>
      <c r="G344" s="2">
        <v>23500</v>
      </c>
      <c r="H344" t="s">
        <v>786</v>
      </c>
      <c r="I344">
        <v>1</v>
      </c>
      <c r="J344" s="2">
        <v>23500</v>
      </c>
      <c r="K344">
        <v>61251007</v>
      </c>
      <c r="L344" t="s">
        <v>844</v>
      </c>
    </row>
    <row r="345" spans="1:12" x14ac:dyDescent="0.35">
      <c r="A345" s="9">
        <v>879122</v>
      </c>
      <c r="B345" s="2">
        <f>EXAMENES[[#This Row],[VALOR_UND]]*EXAMENES[[#This Row],[CANT_A_PAGAR]]</f>
        <v>23500</v>
      </c>
      <c r="C345" t="s">
        <v>467</v>
      </c>
      <c r="D345" t="s">
        <v>42</v>
      </c>
      <c r="E345" t="s">
        <v>768</v>
      </c>
      <c r="F345" t="s">
        <v>779</v>
      </c>
      <c r="G345" s="2">
        <v>23500</v>
      </c>
      <c r="H345" t="s">
        <v>786</v>
      </c>
      <c r="I345">
        <v>1</v>
      </c>
      <c r="J345" s="2">
        <v>23500</v>
      </c>
      <c r="K345">
        <v>61251007</v>
      </c>
      <c r="L345" t="s">
        <v>844</v>
      </c>
    </row>
    <row r="346" spans="1:12" x14ac:dyDescent="0.35">
      <c r="A346" s="9">
        <v>879131</v>
      </c>
      <c r="B346" s="2">
        <f>EXAMENES[[#This Row],[VALOR_UND]]*EXAMENES[[#This Row],[CANT_A_PAGAR]]</f>
        <v>23500</v>
      </c>
      <c r="C346" t="s">
        <v>469</v>
      </c>
      <c r="D346" t="s">
        <v>42</v>
      </c>
      <c r="E346" t="s">
        <v>768</v>
      </c>
      <c r="F346" t="s">
        <v>779</v>
      </c>
      <c r="G346" s="2">
        <v>23500</v>
      </c>
      <c r="H346" t="s">
        <v>786</v>
      </c>
      <c r="I346">
        <v>1</v>
      </c>
      <c r="J346" s="2">
        <v>23500</v>
      </c>
      <c r="K346">
        <v>61251007</v>
      </c>
      <c r="L346" t="s">
        <v>844</v>
      </c>
    </row>
    <row r="347" spans="1:12" x14ac:dyDescent="0.35">
      <c r="A347" s="9">
        <v>879132</v>
      </c>
      <c r="B347" s="2">
        <f>EXAMENES[[#This Row],[VALOR_UND]]*EXAMENES[[#This Row],[CANT_A_PAGAR]]</f>
        <v>23500</v>
      </c>
      <c r="C347" t="s">
        <v>471</v>
      </c>
      <c r="D347" t="s">
        <v>42</v>
      </c>
      <c r="E347" t="s">
        <v>768</v>
      </c>
      <c r="F347" t="s">
        <v>779</v>
      </c>
      <c r="G347" s="2">
        <v>23500</v>
      </c>
      <c r="H347" t="s">
        <v>786</v>
      </c>
      <c r="I347">
        <v>1</v>
      </c>
      <c r="J347" s="2">
        <v>23500</v>
      </c>
      <c r="K347">
        <v>61251007</v>
      </c>
      <c r="L347" t="s">
        <v>844</v>
      </c>
    </row>
    <row r="348" spans="1:12" x14ac:dyDescent="0.35">
      <c r="A348" s="9">
        <v>879141</v>
      </c>
      <c r="B348" s="2">
        <f>EXAMENES[[#This Row],[VALOR_UND]]*EXAMENES[[#This Row],[CANT_A_PAGAR]]</f>
        <v>23500</v>
      </c>
      <c r="C348" t="s">
        <v>473</v>
      </c>
      <c r="D348" t="s">
        <v>42</v>
      </c>
      <c r="E348" t="s">
        <v>768</v>
      </c>
      <c r="F348" t="s">
        <v>779</v>
      </c>
      <c r="G348" s="2">
        <v>23500</v>
      </c>
      <c r="H348" t="s">
        <v>786</v>
      </c>
      <c r="I348">
        <v>1</v>
      </c>
      <c r="J348" s="2">
        <v>23500</v>
      </c>
      <c r="K348">
        <v>61251007</v>
      </c>
      <c r="L348" t="s">
        <v>844</v>
      </c>
    </row>
    <row r="349" spans="1:12" x14ac:dyDescent="0.35">
      <c r="A349" s="9">
        <v>879150</v>
      </c>
      <c r="B349" s="2">
        <f>EXAMENES[[#This Row],[VALOR_UND]]*EXAMENES[[#This Row],[CANT_A_PAGAR]]</f>
        <v>23500</v>
      </c>
      <c r="C349" t="s">
        <v>475</v>
      </c>
      <c r="D349" t="s">
        <v>42</v>
      </c>
      <c r="E349" t="s">
        <v>768</v>
      </c>
      <c r="F349" t="s">
        <v>779</v>
      </c>
      <c r="G349" s="2">
        <v>23500</v>
      </c>
      <c r="H349" t="s">
        <v>786</v>
      </c>
      <c r="I349">
        <v>1</v>
      </c>
      <c r="J349" s="2">
        <v>23500</v>
      </c>
      <c r="K349">
        <v>61251007</v>
      </c>
      <c r="L349" t="s">
        <v>844</v>
      </c>
    </row>
    <row r="350" spans="1:12" x14ac:dyDescent="0.35">
      <c r="A350" s="9">
        <v>879161</v>
      </c>
      <c r="B350" s="2">
        <f>EXAMENES[[#This Row],[VALOR_UND]]*EXAMENES[[#This Row],[CANT_A_PAGAR]]</f>
        <v>23500</v>
      </c>
      <c r="C350" t="s">
        <v>477</v>
      </c>
      <c r="D350" t="s">
        <v>42</v>
      </c>
      <c r="E350" t="s">
        <v>768</v>
      </c>
      <c r="F350" t="s">
        <v>779</v>
      </c>
      <c r="G350" s="2">
        <v>23500</v>
      </c>
      <c r="H350" t="s">
        <v>786</v>
      </c>
      <c r="I350">
        <v>1</v>
      </c>
      <c r="J350" s="2">
        <v>23500</v>
      </c>
      <c r="K350">
        <v>61251007</v>
      </c>
      <c r="L350" t="s">
        <v>844</v>
      </c>
    </row>
    <row r="351" spans="1:12" x14ac:dyDescent="0.35">
      <c r="A351" s="9">
        <v>879162</v>
      </c>
      <c r="B351" s="2">
        <f>EXAMENES[[#This Row],[VALOR_UND]]*EXAMENES[[#This Row],[CANT_A_PAGAR]]</f>
        <v>23500</v>
      </c>
      <c r="C351" t="s">
        <v>479</v>
      </c>
      <c r="D351" t="s">
        <v>42</v>
      </c>
      <c r="E351" t="s">
        <v>768</v>
      </c>
      <c r="F351" t="s">
        <v>779</v>
      </c>
      <c r="G351" s="2">
        <v>23500</v>
      </c>
      <c r="H351" t="s">
        <v>786</v>
      </c>
      <c r="I351">
        <v>1</v>
      </c>
      <c r="J351" s="2">
        <v>23500</v>
      </c>
      <c r="K351">
        <v>61251007</v>
      </c>
      <c r="L351" t="s">
        <v>844</v>
      </c>
    </row>
    <row r="352" spans="1:12" x14ac:dyDescent="0.35">
      <c r="A352" s="9">
        <v>879201</v>
      </c>
      <c r="B352" s="2">
        <f>EXAMENES[[#This Row],[VALOR_UND]]*EXAMENES[[#This Row],[CANT_A_PAGAR]]</f>
        <v>23500</v>
      </c>
      <c r="C352" t="s">
        <v>481</v>
      </c>
      <c r="D352" t="s">
        <v>42</v>
      </c>
      <c r="E352" t="s">
        <v>768</v>
      </c>
      <c r="F352" t="s">
        <v>779</v>
      </c>
      <c r="G352" s="2">
        <v>23500</v>
      </c>
      <c r="H352" t="s">
        <v>786</v>
      </c>
      <c r="I352">
        <v>1</v>
      </c>
      <c r="J352" s="2">
        <v>23500</v>
      </c>
      <c r="K352">
        <v>61251007</v>
      </c>
      <c r="L352" t="s">
        <v>844</v>
      </c>
    </row>
    <row r="353" spans="1:12" x14ac:dyDescent="0.35">
      <c r="A353" s="9">
        <v>879205</v>
      </c>
      <c r="B353" s="2">
        <f>EXAMENES[[#This Row],[VALOR_UND]]*EXAMENES[[#This Row],[CANT_A_PAGAR]]</f>
        <v>23500</v>
      </c>
      <c r="C353" t="s">
        <v>483</v>
      </c>
      <c r="D353" t="s">
        <v>42</v>
      </c>
      <c r="E353" t="s">
        <v>768</v>
      </c>
      <c r="F353" t="s">
        <v>779</v>
      </c>
      <c r="G353" s="2">
        <v>23500</v>
      </c>
      <c r="H353" t="s">
        <v>786</v>
      </c>
      <c r="I353">
        <v>1</v>
      </c>
      <c r="J353" s="2">
        <v>23500</v>
      </c>
      <c r="K353">
        <v>61251007</v>
      </c>
      <c r="L353" t="s">
        <v>844</v>
      </c>
    </row>
    <row r="354" spans="1:12" x14ac:dyDescent="0.35">
      <c r="A354" s="9">
        <v>879301</v>
      </c>
      <c r="B354" s="2">
        <f>EXAMENES[[#This Row],[VALOR_UND]]*EXAMENES[[#This Row],[CANT_A_PAGAR]]</f>
        <v>23500</v>
      </c>
      <c r="C354" t="s">
        <v>485</v>
      </c>
      <c r="D354" t="s">
        <v>42</v>
      </c>
      <c r="E354" t="s">
        <v>768</v>
      </c>
      <c r="F354" t="s">
        <v>779</v>
      </c>
      <c r="G354" s="2">
        <v>23500</v>
      </c>
      <c r="H354" t="s">
        <v>786</v>
      </c>
      <c r="I354">
        <v>1</v>
      </c>
      <c r="J354" s="2">
        <v>23500</v>
      </c>
      <c r="K354">
        <v>61251007</v>
      </c>
      <c r="L354" t="s">
        <v>844</v>
      </c>
    </row>
    <row r="355" spans="1:12" x14ac:dyDescent="0.35">
      <c r="A355" s="9">
        <v>879391</v>
      </c>
      <c r="B355" s="2">
        <f>EXAMENES[[#This Row],[VALOR_UND]]*EXAMENES[[#This Row],[CANT_A_PAGAR]]</f>
        <v>23500</v>
      </c>
      <c r="C355" t="s">
        <v>487</v>
      </c>
      <c r="D355" t="s">
        <v>42</v>
      </c>
      <c r="E355" t="s">
        <v>768</v>
      </c>
      <c r="F355" t="s">
        <v>779</v>
      </c>
      <c r="G355" s="2">
        <v>23500</v>
      </c>
      <c r="H355" t="s">
        <v>786</v>
      </c>
      <c r="I355">
        <v>1</v>
      </c>
      <c r="J355" s="2">
        <v>23500</v>
      </c>
      <c r="K355">
        <v>61251007</v>
      </c>
      <c r="L355" t="s">
        <v>844</v>
      </c>
    </row>
    <row r="356" spans="1:12" x14ac:dyDescent="0.35">
      <c r="A356" s="9">
        <v>879410</v>
      </c>
      <c r="B356" s="2">
        <f>EXAMENES[[#This Row],[VALOR_UND]]*EXAMENES[[#This Row],[CANT_A_PAGAR]]</f>
        <v>23500</v>
      </c>
      <c r="C356" t="s">
        <v>489</v>
      </c>
      <c r="D356" t="s">
        <v>42</v>
      </c>
      <c r="E356" t="s">
        <v>768</v>
      </c>
      <c r="F356" t="s">
        <v>779</v>
      </c>
      <c r="G356" s="2">
        <v>23500</v>
      </c>
      <c r="H356" t="s">
        <v>786</v>
      </c>
      <c r="I356">
        <v>1</v>
      </c>
      <c r="J356" s="2">
        <v>23500</v>
      </c>
      <c r="K356">
        <v>61251007</v>
      </c>
      <c r="L356" t="s">
        <v>844</v>
      </c>
    </row>
    <row r="357" spans="1:12" x14ac:dyDescent="0.35">
      <c r="A357" s="9">
        <v>879420</v>
      </c>
      <c r="B357" s="2">
        <f>EXAMENES[[#This Row],[VALOR_UND]]*EXAMENES[[#This Row],[CANT_A_PAGAR]]</f>
        <v>23500</v>
      </c>
      <c r="C357" t="s">
        <v>491</v>
      </c>
      <c r="D357" t="s">
        <v>42</v>
      </c>
      <c r="E357" t="s">
        <v>768</v>
      </c>
      <c r="F357" t="s">
        <v>779</v>
      </c>
      <c r="G357" s="2">
        <v>23500</v>
      </c>
      <c r="H357" t="s">
        <v>786</v>
      </c>
      <c r="I357">
        <v>1</v>
      </c>
      <c r="J357" s="2">
        <v>23500</v>
      </c>
      <c r="K357">
        <v>61251007</v>
      </c>
      <c r="L357" t="s">
        <v>844</v>
      </c>
    </row>
    <row r="358" spans="1:12" x14ac:dyDescent="0.35">
      <c r="A358" s="9">
        <v>879421</v>
      </c>
      <c r="B358" s="2">
        <f>EXAMENES[[#This Row],[VALOR_UND]]*EXAMENES[[#This Row],[CANT_A_PAGAR]]</f>
        <v>23500</v>
      </c>
      <c r="C358" t="s">
        <v>493</v>
      </c>
      <c r="D358" t="s">
        <v>42</v>
      </c>
      <c r="E358" t="s">
        <v>768</v>
      </c>
      <c r="F358" t="s">
        <v>779</v>
      </c>
      <c r="G358" s="2">
        <v>23500</v>
      </c>
      <c r="H358" t="s">
        <v>786</v>
      </c>
      <c r="I358">
        <v>1</v>
      </c>
      <c r="J358" s="2">
        <v>23500</v>
      </c>
      <c r="K358">
        <v>61251007</v>
      </c>
      <c r="L358" t="s">
        <v>844</v>
      </c>
    </row>
    <row r="359" spans="1:12" x14ac:dyDescent="0.35">
      <c r="A359" s="9">
        <v>879430</v>
      </c>
      <c r="B359" s="2">
        <f>EXAMENES[[#This Row],[VALOR_UND]]*EXAMENES[[#This Row],[CANT_A_PAGAR]]</f>
        <v>23500</v>
      </c>
      <c r="C359" t="s">
        <v>495</v>
      </c>
      <c r="D359" t="s">
        <v>42</v>
      </c>
      <c r="E359" t="s">
        <v>768</v>
      </c>
      <c r="F359" t="s">
        <v>779</v>
      </c>
      <c r="G359" s="2">
        <v>23500</v>
      </c>
      <c r="H359" t="s">
        <v>786</v>
      </c>
      <c r="I359">
        <v>1</v>
      </c>
      <c r="J359" s="2">
        <v>23500</v>
      </c>
      <c r="K359">
        <v>61251007</v>
      </c>
      <c r="L359" t="s">
        <v>844</v>
      </c>
    </row>
    <row r="360" spans="1:12" x14ac:dyDescent="0.35">
      <c r="A360" s="9">
        <v>879460</v>
      </c>
      <c r="B360" s="2">
        <f>EXAMENES[[#This Row],[VALOR_UND]]*EXAMENES[[#This Row],[CANT_A_PAGAR]]</f>
        <v>23500</v>
      </c>
      <c r="C360" t="s">
        <v>497</v>
      </c>
      <c r="D360" t="s">
        <v>42</v>
      </c>
      <c r="E360" t="s">
        <v>768</v>
      </c>
      <c r="F360" t="s">
        <v>779</v>
      </c>
      <c r="G360" s="2">
        <v>23500</v>
      </c>
      <c r="H360" t="s">
        <v>786</v>
      </c>
      <c r="I360">
        <v>1</v>
      </c>
      <c r="J360" s="2">
        <v>23500</v>
      </c>
      <c r="K360">
        <v>61251007</v>
      </c>
      <c r="L360" t="s">
        <v>844</v>
      </c>
    </row>
    <row r="361" spans="1:12" x14ac:dyDescent="0.35">
      <c r="A361" s="9">
        <v>879510</v>
      </c>
      <c r="B361" s="2">
        <f>EXAMENES[[#This Row],[VALOR_UND]]*EXAMENES[[#This Row],[CANT_A_PAGAR]]</f>
        <v>23500</v>
      </c>
      <c r="C361" t="s">
        <v>499</v>
      </c>
      <c r="D361" t="s">
        <v>42</v>
      </c>
      <c r="E361" t="s">
        <v>768</v>
      </c>
      <c r="F361" t="s">
        <v>779</v>
      </c>
      <c r="G361" s="2">
        <v>23500</v>
      </c>
      <c r="H361" t="s">
        <v>786</v>
      </c>
      <c r="I361">
        <v>1</v>
      </c>
      <c r="J361" s="2">
        <v>23500</v>
      </c>
      <c r="K361">
        <v>61251007</v>
      </c>
      <c r="L361" t="s">
        <v>844</v>
      </c>
    </row>
    <row r="362" spans="1:12" x14ac:dyDescent="0.35">
      <c r="A362" s="9">
        <v>879520</v>
      </c>
      <c r="B362" s="2">
        <f>EXAMENES[[#This Row],[VALOR_UND]]*EXAMENES[[#This Row],[CANT_A_PAGAR]]</f>
        <v>23500</v>
      </c>
      <c r="C362" t="s">
        <v>501</v>
      </c>
      <c r="D362" t="s">
        <v>42</v>
      </c>
      <c r="E362" t="s">
        <v>768</v>
      </c>
      <c r="F362" t="s">
        <v>779</v>
      </c>
      <c r="G362" s="2">
        <v>23500</v>
      </c>
      <c r="H362" t="s">
        <v>786</v>
      </c>
      <c r="I362">
        <v>1</v>
      </c>
      <c r="J362" s="2">
        <v>23500</v>
      </c>
      <c r="K362">
        <v>61251007</v>
      </c>
      <c r="L362" t="s">
        <v>844</v>
      </c>
    </row>
    <row r="363" spans="1:12" x14ac:dyDescent="0.35">
      <c r="A363" s="9">
        <v>879522</v>
      </c>
      <c r="B363" s="2">
        <f>EXAMENES[[#This Row],[VALOR_UND]]*EXAMENES[[#This Row],[CANT_A_PAGAR]]</f>
        <v>23500</v>
      </c>
      <c r="C363" t="s">
        <v>503</v>
      </c>
      <c r="D363" t="s">
        <v>42</v>
      </c>
      <c r="E363" t="s">
        <v>768</v>
      </c>
      <c r="F363" t="s">
        <v>779</v>
      </c>
      <c r="G363" s="2">
        <v>23500</v>
      </c>
      <c r="H363" t="s">
        <v>786</v>
      </c>
      <c r="I363">
        <v>1</v>
      </c>
      <c r="J363" s="2">
        <v>23500</v>
      </c>
      <c r="K363">
        <v>61251007</v>
      </c>
      <c r="L363" t="s">
        <v>844</v>
      </c>
    </row>
    <row r="364" spans="1:12" x14ac:dyDescent="0.35">
      <c r="A364" s="9">
        <v>879524</v>
      </c>
      <c r="B364" s="2">
        <f>EXAMENES[[#This Row],[VALOR_UND]]*EXAMENES[[#This Row],[CANT_A_PAGAR]]</f>
        <v>23500</v>
      </c>
      <c r="C364" t="s">
        <v>505</v>
      </c>
      <c r="D364" t="s">
        <v>42</v>
      </c>
      <c r="E364" t="s">
        <v>768</v>
      </c>
      <c r="F364" t="s">
        <v>779</v>
      </c>
      <c r="G364" s="2">
        <v>23500</v>
      </c>
      <c r="H364" t="s">
        <v>786</v>
      </c>
      <c r="I364">
        <v>1</v>
      </c>
      <c r="J364" s="2">
        <v>23500</v>
      </c>
      <c r="K364">
        <v>61251007</v>
      </c>
      <c r="L364" t="s">
        <v>844</v>
      </c>
    </row>
    <row r="365" spans="1:12" x14ac:dyDescent="0.35">
      <c r="A365" s="9">
        <v>879901</v>
      </c>
      <c r="B365" s="2">
        <f>EXAMENES[[#This Row],[VALOR_UND]]*EXAMENES[[#This Row],[CANT_A_PAGAR]]</f>
        <v>23500</v>
      </c>
      <c r="C365" t="s">
        <v>507</v>
      </c>
      <c r="D365" t="s">
        <v>42</v>
      </c>
      <c r="E365" t="s">
        <v>768</v>
      </c>
      <c r="F365" t="s">
        <v>779</v>
      </c>
      <c r="G365" s="2">
        <v>23500</v>
      </c>
      <c r="H365" t="s">
        <v>786</v>
      </c>
      <c r="I365">
        <v>1</v>
      </c>
      <c r="J365" s="2">
        <v>23500</v>
      </c>
      <c r="K365">
        <v>61251007</v>
      </c>
      <c r="L365" t="s">
        <v>844</v>
      </c>
    </row>
    <row r="366" spans="1:12" x14ac:dyDescent="0.35">
      <c r="A366" s="9">
        <v>879910</v>
      </c>
      <c r="B366" s="2">
        <f>EXAMENES[[#This Row],[VALOR_UND]]*EXAMENES[[#This Row],[CANT_A_PAGAR]]</f>
        <v>23500</v>
      </c>
      <c r="C366" t="s">
        <v>509</v>
      </c>
      <c r="D366" t="s">
        <v>42</v>
      </c>
      <c r="E366" t="s">
        <v>768</v>
      </c>
      <c r="F366" t="s">
        <v>779</v>
      </c>
      <c r="G366" s="2">
        <v>23500</v>
      </c>
      <c r="H366" t="s">
        <v>786</v>
      </c>
      <c r="I366">
        <v>1</v>
      </c>
      <c r="J366" s="2">
        <v>23500</v>
      </c>
      <c r="K366">
        <v>61251007</v>
      </c>
      <c r="L366" t="s">
        <v>844</v>
      </c>
    </row>
    <row r="367" spans="1:12" x14ac:dyDescent="0.35">
      <c r="A367" s="9">
        <v>879920</v>
      </c>
      <c r="B367" s="2">
        <f>EXAMENES[[#This Row],[VALOR_UND]]*EXAMENES[[#This Row],[CANT_A_PAGAR]]</f>
        <v>23500</v>
      </c>
      <c r="C367" t="s">
        <v>511</v>
      </c>
      <c r="D367" t="s">
        <v>42</v>
      </c>
      <c r="E367" t="s">
        <v>768</v>
      </c>
      <c r="F367" t="s">
        <v>779</v>
      </c>
      <c r="G367" s="2">
        <v>23500</v>
      </c>
      <c r="H367" t="s">
        <v>786</v>
      </c>
      <c r="I367">
        <v>1</v>
      </c>
      <c r="J367" s="2">
        <v>23500</v>
      </c>
      <c r="K367">
        <v>61251007</v>
      </c>
      <c r="L367" t="s">
        <v>844</v>
      </c>
    </row>
    <row r="368" spans="1:12" x14ac:dyDescent="0.35">
      <c r="A368" s="9">
        <v>879985</v>
      </c>
      <c r="B368" s="2">
        <f>EXAMENES[[#This Row],[VALOR_UND]]*EXAMENES[[#This Row],[CANT_A_PAGAR]]</f>
        <v>23500</v>
      </c>
      <c r="C368" t="s">
        <v>513</v>
      </c>
      <c r="D368" t="s">
        <v>42</v>
      </c>
      <c r="E368" t="s">
        <v>768</v>
      </c>
      <c r="F368" t="s">
        <v>779</v>
      </c>
      <c r="G368" s="2">
        <v>23500</v>
      </c>
      <c r="H368" t="s">
        <v>786</v>
      </c>
      <c r="I368">
        <v>1</v>
      </c>
      <c r="J368" s="2">
        <v>23500</v>
      </c>
      <c r="K368">
        <v>61251007</v>
      </c>
      <c r="L368" t="s">
        <v>844</v>
      </c>
    </row>
    <row r="369" spans="1:12" x14ac:dyDescent="0.35">
      <c r="A369" s="9">
        <v>979961</v>
      </c>
      <c r="B369" s="2">
        <f>EXAMENES[[#This Row],[VALOR_UND]]*EXAMENES[[#This Row],[CANT_A_PAGAR]]</f>
        <v>23500</v>
      </c>
      <c r="C369" t="s">
        <v>757</v>
      </c>
      <c r="D369" t="s">
        <v>42</v>
      </c>
      <c r="E369" t="s">
        <v>768</v>
      </c>
      <c r="F369" t="s">
        <v>779</v>
      </c>
      <c r="G369" s="2">
        <v>23500</v>
      </c>
      <c r="H369" t="s">
        <v>786</v>
      </c>
      <c r="I369">
        <v>1</v>
      </c>
      <c r="J369" s="2">
        <v>23500</v>
      </c>
      <c r="K369">
        <v>61251007</v>
      </c>
      <c r="L369" t="s">
        <v>844</v>
      </c>
    </row>
    <row r="370" spans="1:12" x14ac:dyDescent="0.35">
      <c r="A370" s="9">
        <v>979965</v>
      </c>
      <c r="B370" s="2">
        <f>EXAMENES[[#This Row],[VALOR_UND]]*EXAMENES[[#This Row],[CANT_A_PAGAR]]</f>
        <v>23500</v>
      </c>
      <c r="C370" t="s">
        <v>507</v>
      </c>
      <c r="D370" t="s">
        <v>42</v>
      </c>
      <c r="E370" t="s">
        <v>768</v>
      </c>
      <c r="F370" t="s">
        <v>779</v>
      </c>
      <c r="G370" s="2">
        <v>23500</v>
      </c>
      <c r="H370" t="s">
        <v>786</v>
      </c>
      <c r="I370">
        <v>1</v>
      </c>
      <c r="J370" s="2">
        <v>23500</v>
      </c>
      <c r="K370">
        <v>61251007</v>
      </c>
      <c r="L370" t="s">
        <v>844</v>
      </c>
    </row>
    <row r="371" spans="1:12" x14ac:dyDescent="0.35">
      <c r="A371" s="9">
        <v>979967</v>
      </c>
      <c r="B371" s="2">
        <f>EXAMENES[[#This Row],[VALOR_UND]]*EXAMENES[[#This Row],[CANT_A_PAGAR]]</f>
        <v>23500</v>
      </c>
      <c r="C371" t="s">
        <v>760</v>
      </c>
      <c r="D371" t="s">
        <v>42</v>
      </c>
      <c r="E371" t="s">
        <v>768</v>
      </c>
      <c r="F371" t="s">
        <v>779</v>
      </c>
      <c r="G371" s="2">
        <v>23500</v>
      </c>
      <c r="H371" t="s">
        <v>786</v>
      </c>
      <c r="I371">
        <v>1</v>
      </c>
      <c r="J371" s="2">
        <v>23500</v>
      </c>
      <c r="K371">
        <v>61251007</v>
      </c>
      <c r="L371" t="s">
        <v>844</v>
      </c>
    </row>
    <row r="372" spans="1:12" x14ac:dyDescent="0.35">
      <c r="A372" s="9">
        <v>979970</v>
      </c>
      <c r="B372" s="2">
        <f>EXAMENES[[#This Row],[VALOR_UND]]*EXAMENES[[#This Row],[CANT_A_PAGAR]]</f>
        <v>23500</v>
      </c>
      <c r="C372" t="s">
        <v>762</v>
      </c>
      <c r="D372" t="s">
        <v>42</v>
      </c>
      <c r="E372" t="s">
        <v>768</v>
      </c>
      <c r="F372" t="s">
        <v>779</v>
      </c>
      <c r="G372" s="2">
        <v>23500</v>
      </c>
      <c r="H372" t="s">
        <v>786</v>
      </c>
      <c r="I372">
        <v>1</v>
      </c>
      <c r="J372" s="2">
        <v>23500</v>
      </c>
      <c r="K372">
        <v>61251007</v>
      </c>
      <c r="L372" t="s">
        <v>844</v>
      </c>
    </row>
    <row r="373" spans="1:12" x14ac:dyDescent="0.35">
      <c r="A373" s="9">
        <v>8821030</v>
      </c>
      <c r="B373" s="2">
        <f>EXAMENES[[#This Row],[VALOR_UND]]*EXAMENES[[#This Row],[CANT_A_PAGAR]]</f>
        <v>52400</v>
      </c>
      <c r="C373" t="s">
        <v>789</v>
      </c>
      <c r="D373" t="s">
        <v>77</v>
      </c>
      <c r="E373" t="s">
        <v>773</v>
      </c>
      <c r="F373" t="s">
        <v>773</v>
      </c>
      <c r="G373" s="2">
        <v>52400</v>
      </c>
      <c r="H373" t="s">
        <v>782</v>
      </c>
      <c r="I373">
        <v>1</v>
      </c>
      <c r="J373" s="2">
        <v>52400</v>
      </c>
      <c r="K373">
        <v>61251004</v>
      </c>
      <c r="L373" t="s">
        <v>842</v>
      </c>
    </row>
    <row r="374" spans="1:12" x14ac:dyDescent="0.35">
      <c r="A374" s="9">
        <v>872580</v>
      </c>
      <c r="B374" s="2">
        <f>EXAMENES[[#This Row],[VALOR_UND]]*EXAMENES[[#This Row],[CANT_A_PAGAR]]</f>
        <v>87900</v>
      </c>
      <c r="C374" t="s">
        <v>794</v>
      </c>
      <c r="D374" t="s">
        <v>220</v>
      </c>
      <c r="E374" t="s">
        <v>775</v>
      </c>
      <c r="F374" t="s">
        <v>775</v>
      </c>
      <c r="G374" s="2">
        <v>87900</v>
      </c>
      <c r="H374" t="s">
        <v>782</v>
      </c>
      <c r="I374">
        <v>1</v>
      </c>
      <c r="J374" s="2">
        <v>87900</v>
      </c>
      <c r="K374">
        <v>61251005</v>
      </c>
      <c r="L374" t="s">
        <v>843</v>
      </c>
    </row>
    <row r="375" spans="1:12" x14ac:dyDescent="0.35">
      <c r="A375" s="9">
        <v>540011</v>
      </c>
      <c r="B375" s="2">
        <f>EXAMENES[[#This Row],[VALOR_UND]]*EXAMENES[[#This Row],[CANT_A_PAGAR]]</f>
        <v>87900</v>
      </c>
      <c r="C375" t="s">
        <v>219</v>
      </c>
      <c r="D375" t="s">
        <v>220</v>
      </c>
      <c r="E375" t="s">
        <v>775</v>
      </c>
      <c r="F375" t="s">
        <v>775</v>
      </c>
      <c r="G375" s="2">
        <v>87900</v>
      </c>
      <c r="H375" t="s">
        <v>782</v>
      </c>
      <c r="I375">
        <v>1</v>
      </c>
      <c r="J375" s="2">
        <v>87900</v>
      </c>
      <c r="K375">
        <v>61251005</v>
      </c>
      <c r="L375" t="s">
        <v>843</v>
      </c>
    </row>
    <row r="376" spans="1:12" x14ac:dyDescent="0.35">
      <c r="A376" s="9">
        <v>898101</v>
      </c>
      <c r="B376" s="2">
        <f>EXAMENES[[#This Row],[VALOR_UND]]*EXAMENES[[#This Row],[CANT_A_PAGAR]]</f>
        <v>87900</v>
      </c>
      <c r="C376" t="s">
        <v>797</v>
      </c>
      <c r="D376" t="s">
        <v>220</v>
      </c>
      <c r="E376" t="s">
        <v>775</v>
      </c>
      <c r="F376" t="s">
        <v>775</v>
      </c>
      <c r="G376" s="2">
        <v>87900</v>
      </c>
      <c r="H376" t="s">
        <v>782</v>
      </c>
      <c r="I376">
        <v>1</v>
      </c>
      <c r="J376" s="2">
        <v>87900</v>
      </c>
      <c r="K376">
        <v>61251005</v>
      </c>
      <c r="L376" t="s">
        <v>843</v>
      </c>
    </row>
    <row r="377" spans="1:12" x14ac:dyDescent="0.35">
      <c r="A377" s="9">
        <v>881104</v>
      </c>
      <c r="B377" s="2">
        <f>EXAMENES[[#This Row],[VALOR_UND]]*EXAMENES[[#This Row],[CANT_A_PAGAR]]</f>
        <v>87900</v>
      </c>
      <c r="C377" t="s">
        <v>799</v>
      </c>
      <c r="D377" t="s">
        <v>220</v>
      </c>
      <c r="E377" t="s">
        <v>775</v>
      </c>
      <c r="F377" t="s">
        <v>775</v>
      </c>
      <c r="G377" s="2">
        <v>87900</v>
      </c>
      <c r="H377" t="s">
        <v>782</v>
      </c>
      <c r="I377">
        <v>1</v>
      </c>
      <c r="J377" s="2">
        <v>87900</v>
      </c>
      <c r="K377">
        <v>61251005</v>
      </c>
      <c r="L377" t="s">
        <v>843</v>
      </c>
    </row>
    <row r="378" spans="1:12" s="3" customFormat="1" x14ac:dyDescent="0.35">
      <c r="A378" s="9" t="s">
        <v>800</v>
      </c>
      <c r="B378" s="2">
        <f>EXAMENES[[#This Row],[VALOR_UND]]*EXAMENES[[#This Row],[CANT_A_PAGAR]]</f>
        <v>28000</v>
      </c>
      <c r="C378" t="s">
        <v>801</v>
      </c>
      <c r="D378" t="s">
        <v>5</v>
      </c>
      <c r="E378" t="s">
        <v>772</v>
      </c>
      <c r="F378" t="s">
        <v>534</v>
      </c>
      <c r="G378" s="2">
        <v>28000</v>
      </c>
      <c r="H378" t="s">
        <v>782</v>
      </c>
      <c r="I378">
        <v>1</v>
      </c>
      <c r="J378" s="2">
        <v>28000</v>
      </c>
      <c r="K378">
        <v>61251003</v>
      </c>
      <c r="L378" t="s">
        <v>841</v>
      </c>
    </row>
    <row r="379" spans="1:12" x14ac:dyDescent="0.35">
      <c r="A379" s="9">
        <v>879932</v>
      </c>
      <c r="B379" s="2">
        <f>EXAMENES[[#This Row],[VALOR_UND]]*EXAMENES[[#This Row],[CANT_A_PAGAR]]</f>
        <v>30000</v>
      </c>
      <c r="C379" t="s">
        <v>809</v>
      </c>
      <c r="D379" t="s">
        <v>42</v>
      </c>
      <c r="E379" t="s">
        <v>768</v>
      </c>
      <c r="F379" t="s">
        <v>780</v>
      </c>
      <c r="G379" s="2">
        <v>30000</v>
      </c>
      <c r="H379" t="s">
        <v>786</v>
      </c>
      <c r="I379">
        <v>1</v>
      </c>
      <c r="J379" s="2">
        <v>30000</v>
      </c>
      <c r="K379">
        <v>61251007</v>
      </c>
      <c r="L379" t="s">
        <v>844</v>
      </c>
    </row>
    <row r="380" spans="1:12" x14ac:dyDescent="0.35">
      <c r="A380" s="9">
        <v>879933</v>
      </c>
      <c r="B380" s="2">
        <f>EXAMENES[[#This Row],[VALOR_UND]]*EXAMENES[[#This Row],[CANT_A_PAGAR]]</f>
        <v>30000</v>
      </c>
      <c r="C380" t="s">
        <v>811</v>
      </c>
      <c r="D380" t="s">
        <v>42</v>
      </c>
      <c r="E380" t="s">
        <v>768</v>
      </c>
      <c r="F380" t="s">
        <v>780</v>
      </c>
      <c r="G380" s="2">
        <v>30000</v>
      </c>
      <c r="H380" t="s">
        <v>786</v>
      </c>
      <c r="I380">
        <v>1</v>
      </c>
      <c r="J380" s="2">
        <v>30000</v>
      </c>
      <c r="K380">
        <v>61251007</v>
      </c>
      <c r="L380" t="s">
        <v>844</v>
      </c>
    </row>
    <row r="381" spans="1:12" x14ac:dyDescent="0.35">
      <c r="A381" s="9">
        <v>879937</v>
      </c>
      <c r="B381" s="2">
        <f>EXAMENES[[#This Row],[VALOR_UND]]*EXAMENES[[#This Row],[CANT_A_PAGAR]]</f>
        <v>30000</v>
      </c>
      <c r="C381" t="s">
        <v>813</v>
      </c>
      <c r="D381" t="s">
        <v>42</v>
      </c>
      <c r="E381" t="s">
        <v>768</v>
      </c>
      <c r="F381" t="s">
        <v>780</v>
      </c>
      <c r="G381" s="2">
        <v>30000</v>
      </c>
      <c r="H381" t="s">
        <v>786</v>
      </c>
      <c r="I381">
        <v>1</v>
      </c>
      <c r="J381" s="2">
        <v>30000</v>
      </c>
      <c r="K381">
        <v>61251007</v>
      </c>
      <c r="L381" t="s">
        <v>844</v>
      </c>
    </row>
    <row r="382" spans="1:12" x14ac:dyDescent="0.35">
      <c r="A382" s="9">
        <v>879938</v>
      </c>
      <c r="B382" s="2">
        <f>EXAMENES[[#This Row],[VALOR_UND]]*EXAMENES[[#This Row],[CANT_A_PAGAR]]</f>
        <v>30000</v>
      </c>
      <c r="C382" t="s">
        <v>815</v>
      </c>
      <c r="D382" t="s">
        <v>42</v>
      </c>
      <c r="E382" t="s">
        <v>768</v>
      </c>
      <c r="F382" t="s">
        <v>780</v>
      </c>
      <c r="G382" s="2">
        <v>30000</v>
      </c>
      <c r="H382" t="s">
        <v>786</v>
      </c>
      <c r="I382">
        <v>1</v>
      </c>
      <c r="J382" s="2">
        <v>30000</v>
      </c>
      <c r="K382">
        <v>61251007</v>
      </c>
      <c r="L382" t="s">
        <v>844</v>
      </c>
    </row>
    <row r="383" spans="1:12" x14ac:dyDescent="0.35">
      <c r="A383" s="9">
        <v>879942</v>
      </c>
      <c r="B383" s="2">
        <f>EXAMENES[[#This Row],[VALOR_UND]]*EXAMENES[[#This Row],[CANT_A_PAGAR]]</f>
        <v>30000</v>
      </c>
      <c r="C383" t="s">
        <v>817</v>
      </c>
      <c r="D383" t="s">
        <v>42</v>
      </c>
      <c r="E383" t="s">
        <v>768</v>
      </c>
      <c r="F383" t="s">
        <v>780</v>
      </c>
      <c r="G383" s="2">
        <v>30000</v>
      </c>
      <c r="H383" t="s">
        <v>786</v>
      </c>
      <c r="I383">
        <v>1</v>
      </c>
      <c r="J383" s="2">
        <v>30000</v>
      </c>
      <c r="K383">
        <v>61251007</v>
      </c>
      <c r="L383" t="s">
        <v>844</v>
      </c>
    </row>
    <row r="384" spans="1:12" x14ac:dyDescent="0.35">
      <c r="A384" s="9">
        <v>879431</v>
      </c>
      <c r="B384" s="2">
        <f>EXAMENES[[#This Row],[VALOR_UND]]*EXAMENES[[#This Row],[CANT_A_PAGAR]]</f>
        <v>30000</v>
      </c>
      <c r="C384" t="s">
        <v>821</v>
      </c>
      <c r="D384" t="s">
        <v>42</v>
      </c>
      <c r="E384" t="s">
        <v>768</v>
      </c>
      <c r="F384" t="s">
        <v>780</v>
      </c>
      <c r="G384" s="2">
        <v>30000</v>
      </c>
      <c r="H384" t="s">
        <v>786</v>
      </c>
      <c r="I384">
        <v>1</v>
      </c>
      <c r="J384" s="2">
        <v>30000</v>
      </c>
      <c r="K384">
        <v>61251007</v>
      </c>
      <c r="L384" t="s">
        <v>844</v>
      </c>
    </row>
    <row r="385" spans="1:2048 2053:3071 3076:4094 4099:5117 5122:6140 6145:7168 7171:8191 8194:9214 9217:10240 10242:11263 11265:13312 13317:14335 14340:15358 15363:16381" x14ac:dyDescent="0.35">
      <c r="A385" s="9">
        <v>879931</v>
      </c>
      <c r="B385" s="2">
        <f>EXAMENES[[#This Row],[VALOR_UND]]*EXAMENES[[#This Row],[CANT_A_PAGAR]]</f>
        <v>30000</v>
      </c>
      <c r="C385" t="s">
        <v>823</v>
      </c>
      <c r="D385" t="s">
        <v>42</v>
      </c>
      <c r="E385" t="s">
        <v>768</v>
      </c>
      <c r="F385" t="s">
        <v>780</v>
      </c>
      <c r="G385" s="2">
        <v>30000</v>
      </c>
      <c r="H385" t="s">
        <v>786</v>
      </c>
      <c r="I385">
        <v>1</v>
      </c>
      <c r="J385" s="2">
        <v>30000</v>
      </c>
      <c r="K385">
        <v>61251007</v>
      </c>
      <c r="L385" t="s">
        <v>844</v>
      </c>
    </row>
    <row r="386" spans="1:2048 2053:3071 3076:4094 4099:5117 5122:6140 6145:7168 7171:8191 8194:9214 9217:10240 10242:11263 11265:13312 13317:14335 14340:15358 15363:16381" x14ac:dyDescent="0.35">
      <c r="A386" s="9">
        <v>879930</v>
      </c>
      <c r="B386" s="2">
        <f>EXAMENES[[#This Row],[VALOR_UND]]*EXAMENES[[#This Row],[CANT_A_PAGAR]]</f>
        <v>30000</v>
      </c>
      <c r="C386" t="s">
        <v>825</v>
      </c>
      <c r="D386" t="s">
        <v>42</v>
      </c>
      <c r="E386" t="s">
        <v>768</v>
      </c>
      <c r="F386" t="s">
        <v>780</v>
      </c>
      <c r="G386" s="2">
        <v>30000</v>
      </c>
      <c r="H386" t="s">
        <v>786</v>
      </c>
      <c r="I386">
        <v>1</v>
      </c>
      <c r="J386" s="2">
        <v>30000</v>
      </c>
      <c r="K386">
        <v>61251007</v>
      </c>
      <c r="L386" t="s">
        <v>844</v>
      </c>
    </row>
    <row r="387" spans="1:2048 2053:3071 3076:4094 4099:5117 5122:6140 6145:7168 7171:8191 8194:9214 9217:10240 10242:11263 11265:13312 13317:14335 14340:15358 15363:16381" x14ac:dyDescent="0.35">
      <c r="A387" s="9">
        <v>879941</v>
      </c>
      <c r="B387" s="2">
        <f>EXAMENES[[#This Row],[VALOR_UND]]*EXAMENES[[#This Row],[CANT_A_PAGAR]]</f>
        <v>30000</v>
      </c>
      <c r="C387" t="s">
        <v>827</v>
      </c>
      <c r="D387" t="s">
        <v>42</v>
      </c>
      <c r="E387" t="s">
        <v>768</v>
      </c>
      <c r="F387" t="s">
        <v>780</v>
      </c>
      <c r="G387" s="2">
        <v>30000</v>
      </c>
      <c r="H387" t="s">
        <v>786</v>
      </c>
      <c r="I387">
        <v>1</v>
      </c>
      <c r="J387" s="2">
        <v>30000</v>
      </c>
      <c r="K387">
        <v>61251007</v>
      </c>
      <c r="L387" t="s">
        <v>844</v>
      </c>
    </row>
    <row r="388" spans="1:2048 2053:3071 3076:4094 4099:5117 5122:6140 6145:7168 7171:8191 8194:9214 9217:10240 10242:11263 11265:13312 13317:14335 14340:15358 15363:16381" x14ac:dyDescent="0.35">
      <c r="A388" s="9">
        <v>879946</v>
      </c>
      <c r="B388" s="2">
        <f>EXAMENES[[#This Row],[VALOR_UND]]*EXAMENES[[#This Row],[CANT_A_PAGAR]]</f>
        <v>30000</v>
      </c>
      <c r="C388" t="s">
        <v>829</v>
      </c>
      <c r="D388" t="s">
        <v>42</v>
      </c>
      <c r="E388" t="s">
        <v>768</v>
      </c>
      <c r="F388" t="s">
        <v>780</v>
      </c>
      <c r="G388" s="2">
        <v>30000</v>
      </c>
      <c r="H388" t="s">
        <v>786</v>
      </c>
      <c r="I388">
        <v>1</v>
      </c>
      <c r="J388" s="2">
        <v>30000</v>
      </c>
      <c r="K388">
        <v>61251007</v>
      </c>
      <c r="L388" t="s">
        <v>844</v>
      </c>
    </row>
    <row r="389" spans="1:2048 2053:3071 3076:4094 4099:5117 5122:6140 6145:7168 7171:8191 8194:9214 9217:10240 10242:11263 11265:13312 13317:14335 14340:15358 15363:16381" x14ac:dyDescent="0.35">
      <c r="A389" s="9" t="s">
        <v>830</v>
      </c>
      <c r="B389" s="2">
        <f>EXAMENES[[#This Row],[VALOR_UND]]*EXAMENES[[#This Row],[CANT_A_PAGAR]]</f>
        <v>30000</v>
      </c>
      <c r="C389" t="s">
        <v>831</v>
      </c>
      <c r="D389" t="s">
        <v>42</v>
      </c>
      <c r="E389" t="s">
        <v>768</v>
      </c>
      <c r="F389" t="s">
        <v>780</v>
      </c>
      <c r="G389" s="2">
        <v>30000</v>
      </c>
      <c r="H389" t="s">
        <v>786</v>
      </c>
      <c r="I389">
        <v>1</v>
      </c>
      <c r="J389" s="2">
        <v>30000</v>
      </c>
      <c r="K389">
        <v>61251007</v>
      </c>
      <c r="L389" t="s">
        <v>844</v>
      </c>
    </row>
    <row r="390" spans="1:2048 2053:3071 3076:4094 4099:5117 5122:6140 6145:7168 7171:8191 8194:9214 9217:10240 10242:11263 11265:13312 13317:14335 14340:15358 15363:16381" x14ac:dyDescent="0.35">
      <c r="A390" s="9">
        <v>879947</v>
      </c>
      <c r="B390" s="2">
        <f>EXAMENES[[#This Row],[VALOR_UND]]*EXAMENES[[#This Row],[CANT_A_PAGAR]]</f>
        <v>30000</v>
      </c>
      <c r="C390" t="s">
        <v>835</v>
      </c>
      <c r="D390" t="s">
        <v>42</v>
      </c>
      <c r="E390" t="s">
        <v>768</v>
      </c>
      <c r="F390" t="s">
        <v>780</v>
      </c>
      <c r="G390" s="2">
        <v>30000</v>
      </c>
      <c r="H390" t="s">
        <v>786</v>
      </c>
      <c r="I390">
        <v>1</v>
      </c>
      <c r="J390" s="2">
        <v>30000</v>
      </c>
      <c r="K390">
        <v>61251007</v>
      </c>
      <c r="L390" t="s">
        <v>844</v>
      </c>
    </row>
    <row r="391" spans="1:2048 2053:3071 3076:4094 4099:5117 5122:6140 6145:7168 7171:8191 8194:9214 9217:10240 10242:11263 11265:13312 13317:14335 14340:15358 15363:16381" x14ac:dyDescent="0.35">
      <c r="A391" s="9" t="s">
        <v>846</v>
      </c>
      <c r="B391" s="2">
        <f>EXAMENES[[#This Row],[VALOR_UND]]*EXAMENES[[#This Row],[CANT_A_PAGAR]]</f>
        <v>26200</v>
      </c>
      <c r="C391" t="s">
        <v>847</v>
      </c>
      <c r="D391" t="s">
        <v>5</v>
      </c>
      <c r="E391" t="s">
        <v>772</v>
      </c>
      <c r="F391" t="s">
        <v>777</v>
      </c>
      <c r="G391" s="2">
        <v>26200</v>
      </c>
      <c r="H391" t="s">
        <v>782</v>
      </c>
      <c r="I391">
        <v>1</v>
      </c>
      <c r="J391" s="2">
        <v>26200</v>
      </c>
      <c r="K391">
        <v>61251003</v>
      </c>
      <c r="L391" t="s">
        <v>841</v>
      </c>
    </row>
    <row r="392" spans="1:2048 2053:3071 3076:4094 4099:5117 5122:6140 6145:7168 7171:8191 8194:9214 9217:10240 10242:11263 11265:13312 13317:14335 14340:15358 15363:16381" x14ac:dyDescent="0.35">
      <c r="A392" s="9" t="s">
        <v>849</v>
      </c>
      <c r="B392" s="2">
        <f>EXAMENES[[#This Row],[VALOR_UND]]*EXAMENES[[#This Row],[CANT_A_PAGAR]]</f>
        <v>26200</v>
      </c>
      <c r="C392" t="s">
        <v>850</v>
      </c>
      <c r="D392" t="s">
        <v>5</v>
      </c>
      <c r="E392" t="s">
        <v>772</v>
      </c>
      <c r="F392" t="s">
        <v>777</v>
      </c>
      <c r="G392" s="2">
        <v>26200</v>
      </c>
      <c r="H392" t="s">
        <v>782</v>
      </c>
      <c r="I392">
        <v>1</v>
      </c>
      <c r="J392" s="2">
        <v>26200</v>
      </c>
      <c r="K392">
        <v>61251003</v>
      </c>
      <c r="L392" t="s">
        <v>841</v>
      </c>
    </row>
    <row r="393" spans="1:2048 2053:3071 3076:4094 4099:5117 5122:6140 6145:7168 7171:8191 8194:9214 9217:10240 10242:11263 11265:13312 13317:14335 14340:15358 15363:16381" s="23" customFormat="1" x14ac:dyDescent="0.35">
      <c r="A393" s="22">
        <v>877901</v>
      </c>
      <c r="B393" s="19">
        <f>EXAMENES[[#This Row],[VALOR_UND]]*EXAMENES[[#This Row],[CANT_A_PAGAR]]</f>
        <v>90900</v>
      </c>
      <c r="C393" s="23" t="s">
        <v>851</v>
      </c>
      <c r="D393" s="23" t="s">
        <v>6</v>
      </c>
      <c r="E393" s="23" t="s">
        <v>770</v>
      </c>
      <c r="F393" s="23" t="s">
        <v>770</v>
      </c>
      <c r="G393" s="24">
        <v>90900</v>
      </c>
      <c r="H393" s="23" t="s">
        <v>784</v>
      </c>
      <c r="I393" s="23">
        <v>1</v>
      </c>
      <c r="J393" s="19">
        <v>90900</v>
      </c>
      <c r="K393" s="23">
        <v>61251002</v>
      </c>
      <c r="L393" s="25" t="s">
        <v>840</v>
      </c>
      <c r="M393" s="26"/>
      <c r="R393" s="24"/>
      <c r="U393" s="24"/>
      <c r="W393" s="25"/>
      <c r="X393" s="26"/>
      <c r="AC393" s="24"/>
      <c r="AF393" s="24"/>
      <c r="AH393" s="25"/>
      <c r="AI393" s="26"/>
      <c r="AN393" s="24"/>
      <c r="AQ393" s="24"/>
      <c r="AS393" s="25"/>
      <c r="AT393" s="26"/>
      <c r="AY393" s="24"/>
      <c r="BB393" s="24"/>
      <c r="BD393" s="25"/>
      <c r="BE393" s="26"/>
      <c r="BJ393" s="24"/>
      <c r="BM393" s="24"/>
      <c r="BO393" s="25"/>
      <c r="BP393" s="26"/>
      <c r="BU393" s="24"/>
      <c r="BX393" s="24"/>
      <c r="BZ393" s="25"/>
      <c r="CA393" s="26"/>
      <c r="CF393" s="24"/>
      <c r="CI393" s="24"/>
      <c r="CK393" s="25"/>
      <c r="CL393" s="26"/>
      <c r="CQ393" s="24"/>
      <c r="CT393" s="24"/>
      <c r="CV393" s="25"/>
      <c r="CW393" s="26"/>
      <c r="DB393" s="24"/>
      <c r="DE393" s="24"/>
      <c r="DG393" s="25"/>
      <c r="DH393" s="26"/>
      <c r="DM393" s="24"/>
      <c r="DP393" s="24"/>
      <c r="DR393" s="25"/>
      <c r="DS393" s="26"/>
      <c r="DX393" s="24"/>
      <c r="EA393" s="24"/>
      <c r="EC393" s="25"/>
      <c r="ED393" s="26"/>
      <c r="EI393" s="24"/>
      <c r="EL393" s="24"/>
      <c r="EN393" s="25"/>
      <c r="EO393" s="26"/>
      <c r="ET393" s="24"/>
      <c r="EW393" s="24"/>
      <c r="EY393" s="25"/>
      <c r="EZ393" s="26"/>
      <c r="FE393" s="24"/>
      <c r="FH393" s="24"/>
      <c r="FJ393" s="25"/>
      <c r="FK393" s="26"/>
      <c r="FP393" s="24"/>
      <c r="FS393" s="24"/>
      <c r="FU393" s="25"/>
      <c r="FV393" s="26"/>
      <c r="GA393" s="24"/>
      <c r="GD393" s="24"/>
      <c r="GF393" s="25"/>
      <c r="GG393" s="26"/>
      <c r="GL393" s="24"/>
      <c r="GO393" s="24"/>
      <c r="GQ393" s="25"/>
      <c r="GR393" s="26"/>
      <c r="GW393" s="24"/>
      <c r="GZ393" s="24"/>
      <c r="HB393" s="25"/>
      <c r="HC393" s="26"/>
      <c r="HH393" s="24"/>
      <c r="HK393" s="24"/>
      <c r="HM393" s="25"/>
      <c r="HN393" s="26"/>
      <c r="HS393" s="24"/>
      <c r="HV393" s="24"/>
      <c r="HX393" s="25"/>
      <c r="HY393" s="26"/>
      <c r="ID393" s="24"/>
      <c r="IG393" s="24"/>
      <c r="II393" s="25"/>
      <c r="IJ393" s="26"/>
      <c r="IO393" s="24"/>
      <c r="IR393" s="24"/>
      <c r="IT393" s="25"/>
      <c r="IU393" s="26"/>
      <c r="IZ393" s="24"/>
      <c r="JC393" s="24"/>
      <c r="JE393" s="25"/>
      <c r="JF393" s="26"/>
      <c r="JK393" s="24"/>
      <c r="JN393" s="24"/>
      <c r="JP393" s="25"/>
      <c r="JQ393" s="26"/>
      <c r="JV393" s="24"/>
      <c r="JY393" s="24"/>
      <c r="KA393" s="25"/>
      <c r="KB393" s="26"/>
      <c r="KG393" s="24"/>
      <c r="KJ393" s="24"/>
      <c r="KL393" s="25"/>
      <c r="KM393" s="26"/>
      <c r="KR393" s="24"/>
      <c r="KU393" s="24"/>
      <c r="KW393" s="25"/>
      <c r="KX393" s="26"/>
      <c r="LC393" s="24"/>
      <c r="LF393" s="24"/>
      <c r="LH393" s="25"/>
      <c r="LI393" s="26"/>
      <c r="LN393" s="24"/>
      <c r="LQ393" s="24"/>
      <c r="LS393" s="25"/>
      <c r="LT393" s="26"/>
      <c r="LY393" s="24"/>
      <c r="MB393" s="24"/>
      <c r="MD393" s="25"/>
      <c r="ME393" s="26"/>
      <c r="MJ393" s="24"/>
      <c r="MM393" s="24"/>
      <c r="MO393" s="25"/>
      <c r="MP393" s="26"/>
      <c r="MU393" s="24"/>
      <c r="MX393" s="24"/>
      <c r="MZ393" s="25"/>
      <c r="NA393" s="26"/>
      <c r="NF393" s="24"/>
      <c r="NI393" s="24"/>
      <c r="NK393" s="25"/>
      <c r="NL393" s="26"/>
      <c r="NQ393" s="24"/>
      <c r="NT393" s="24"/>
      <c r="NV393" s="25"/>
      <c r="NW393" s="26"/>
      <c r="OB393" s="24"/>
      <c r="OE393" s="24"/>
      <c r="OG393" s="25"/>
      <c r="OH393" s="26"/>
      <c r="OM393" s="24"/>
      <c r="OP393" s="24"/>
      <c r="OR393" s="25"/>
      <c r="OS393" s="26"/>
      <c r="OX393" s="24"/>
      <c r="PA393" s="24"/>
      <c r="PC393" s="25"/>
      <c r="PD393" s="26"/>
      <c r="PI393" s="24"/>
      <c r="PL393" s="24"/>
      <c r="PN393" s="25"/>
      <c r="PO393" s="26"/>
      <c r="PT393" s="24"/>
      <c r="PW393" s="24"/>
      <c r="PY393" s="25"/>
      <c r="PZ393" s="26"/>
      <c r="QE393" s="24"/>
      <c r="QH393" s="24"/>
      <c r="QJ393" s="25"/>
      <c r="QK393" s="26"/>
      <c r="QP393" s="24"/>
      <c r="QS393" s="24"/>
      <c r="QU393" s="25"/>
      <c r="QV393" s="26"/>
      <c r="RA393" s="24"/>
      <c r="RD393" s="24"/>
      <c r="RF393" s="25"/>
      <c r="RG393" s="26"/>
      <c r="RL393" s="24"/>
      <c r="RO393" s="24"/>
      <c r="RQ393" s="25"/>
      <c r="RR393" s="26"/>
      <c r="RW393" s="24"/>
      <c r="RZ393" s="24"/>
      <c r="SB393" s="25"/>
      <c r="SC393" s="26"/>
      <c r="SH393" s="24"/>
      <c r="SK393" s="24"/>
      <c r="SM393" s="25"/>
      <c r="SN393" s="26"/>
      <c r="SS393" s="24"/>
      <c r="SV393" s="24"/>
      <c r="SX393" s="25"/>
      <c r="SY393" s="26"/>
      <c r="TD393" s="24"/>
      <c r="TG393" s="24"/>
      <c r="TI393" s="25"/>
      <c r="TJ393" s="26"/>
      <c r="TO393" s="24"/>
      <c r="TR393" s="24"/>
      <c r="TT393" s="25"/>
      <c r="TU393" s="26"/>
      <c r="TZ393" s="24"/>
      <c r="UC393" s="24"/>
      <c r="UE393" s="25"/>
      <c r="UF393" s="26"/>
      <c r="UK393" s="24"/>
      <c r="UN393" s="24"/>
      <c r="UP393" s="25"/>
      <c r="UQ393" s="26"/>
      <c r="UV393" s="24"/>
      <c r="UY393" s="24"/>
      <c r="VA393" s="25"/>
      <c r="VB393" s="26"/>
      <c r="VG393" s="24"/>
      <c r="VJ393" s="24"/>
      <c r="VL393" s="25"/>
      <c r="VM393" s="26"/>
      <c r="VR393" s="24"/>
      <c r="VU393" s="24"/>
      <c r="VW393" s="25"/>
      <c r="VX393" s="26"/>
      <c r="WC393" s="24"/>
      <c r="WF393" s="24"/>
      <c r="WH393" s="25"/>
      <c r="WI393" s="26"/>
      <c r="WN393" s="24"/>
      <c r="WQ393" s="24"/>
      <c r="WS393" s="25"/>
      <c r="WT393" s="26"/>
      <c r="WY393" s="24"/>
      <c r="XB393" s="24"/>
      <c r="XD393" s="25"/>
      <c r="XE393" s="26"/>
      <c r="XJ393" s="24"/>
      <c r="XM393" s="24"/>
      <c r="XO393" s="25"/>
      <c r="XP393" s="26"/>
      <c r="XU393" s="24"/>
      <c r="XX393" s="24"/>
      <c r="XZ393" s="25"/>
      <c r="YA393" s="26"/>
      <c r="YF393" s="24"/>
      <c r="YI393" s="24"/>
      <c r="YK393" s="25"/>
      <c r="YL393" s="26"/>
      <c r="YQ393" s="24"/>
      <c r="YT393" s="24"/>
      <c r="YV393" s="25"/>
      <c r="YW393" s="26"/>
      <c r="ZB393" s="24"/>
      <c r="ZE393" s="24"/>
      <c r="ZG393" s="25"/>
      <c r="ZH393" s="26"/>
      <c r="ZM393" s="24"/>
      <c r="ZP393" s="24"/>
      <c r="ZR393" s="25"/>
      <c r="ZS393" s="26"/>
      <c r="ZX393" s="24"/>
      <c r="AAA393" s="24"/>
      <c r="AAC393" s="25"/>
      <c r="AAD393" s="26"/>
      <c r="AAI393" s="24"/>
      <c r="AAL393" s="24"/>
      <c r="AAN393" s="25"/>
      <c r="AAO393" s="26"/>
      <c r="AAT393" s="24"/>
      <c r="AAW393" s="24"/>
      <c r="AAY393" s="25"/>
      <c r="AAZ393" s="26"/>
      <c r="ABE393" s="24"/>
      <c r="ABH393" s="24"/>
      <c r="ABJ393" s="25"/>
      <c r="ABK393" s="26"/>
      <c r="ABP393" s="24"/>
      <c r="ABS393" s="24"/>
      <c r="ABU393" s="25"/>
      <c r="ABV393" s="26"/>
      <c r="ACA393" s="24"/>
      <c r="ACD393" s="24"/>
      <c r="ACF393" s="25"/>
      <c r="ACG393" s="26"/>
      <c r="ACL393" s="24"/>
      <c r="ACO393" s="24"/>
      <c r="ACQ393" s="25"/>
      <c r="ACR393" s="26"/>
      <c r="ACW393" s="24"/>
      <c r="ACZ393" s="24"/>
      <c r="ADB393" s="25"/>
      <c r="ADC393" s="26"/>
      <c r="ADH393" s="24"/>
      <c r="ADK393" s="24"/>
      <c r="ADM393" s="25"/>
      <c r="ADN393" s="26"/>
      <c r="ADS393" s="24"/>
      <c r="ADV393" s="24"/>
      <c r="ADX393" s="25"/>
      <c r="ADY393" s="26"/>
      <c r="AED393" s="24"/>
      <c r="AEG393" s="24"/>
      <c r="AEI393" s="25"/>
      <c r="AEJ393" s="26"/>
      <c r="AEO393" s="24"/>
      <c r="AER393" s="24"/>
      <c r="AET393" s="25"/>
      <c r="AEU393" s="26"/>
      <c r="AEZ393" s="24"/>
      <c r="AFC393" s="24"/>
      <c r="AFE393" s="25"/>
      <c r="AFF393" s="26"/>
      <c r="AFK393" s="24"/>
      <c r="AFN393" s="24"/>
      <c r="AFP393" s="25"/>
      <c r="AFQ393" s="26"/>
      <c r="AFV393" s="24"/>
      <c r="AFY393" s="24"/>
      <c r="AGA393" s="25"/>
      <c r="AGB393" s="26"/>
      <c r="AGG393" s="24"/>
      <c r="AGJ393" s="24"/>
      <c r="AGL393" s="25"/>
      <c r="AGM393" s="26"/>
      <c r="AGR393" s="24"/>
      <c r="AGU393" s="24"/>
      <c r="AGW393" s="25"/>
      <c r="AGX393" s="26"/>
      <c r="AHC393" s="24"/>
      <c r="AHF393" s="24"/>
      <c r="AHH393" s="25"/>
      <c r="AHI393" s="26"/>
      <c r="AHN393" s="24"/>
      <c r="AHQ393" s="24"/>
      <c r="AHS393" s="25"/>
      <c r="AHT393" s="26"/>
      <c r="AHY393" s="24"/>
      <c r="AIB393" s="24"/>
      <c r="AID393" s="25"/>
      <c r="AIE393" s="26"/>
      <c r="AIJ393" s="24"/>
      <c r="AIM393" s="24"/>
      <c r="AIO393" s="25"/>
      <c r="AIP393" s="26"/>
      <c r="AIU393" s="24"/>
      <c r="AIX393" s="24"/>
      <c r="AIZ393" s="25"/>
      <c r="AJA393" s="26"/>
      <c r="AJF393" s="24"/>
      <c r="AJI393" s="24"/>
      <c r="AJK393" s="25"/>
      <c r="AJL393" s="26"/>
      <c r="AJQ393" s="24"/>
      <c r="AJT393" s="24"/>
      <c r="AJV393" s="25"/>
      <c r="AJW393" s="26"/>
      <c r="AKB393" s="24"/>
      <c r="AKE393" s="24"/>
      <c r="AKG393" s="25"/>
      <c r="AKH393" s="26"/>
      <c r="AKM393" s="24"/>
      <c r="AKP393" s="24"/>
      <c r="AKR393" s="25"/>
      <c r="AKS393" s="26"/>
      <c r="AKX393" s="24"/>
      <c r="ALA393" s="24"/>
      <c r="ALC393" s="25"/>
      <c r="ALD393" s="26"/>
      <c r="ALI393" s="24"/>
      <c r="ALL393" s="24"/>
      <c r="ALN393" s="25"/>
      <c r="ALO393" s="26"/>
      <c r="ALT393" s="24"/>
      <c r="ALW393" s="24"/>
      <c r="ALY393" s="25"/>
      <c r="ALZ393" s="26"/>
      <c r="AME393" s="24"/>
      <c r="AMH393" s="24"/>
      <c r="AMJ393" s="25"/>
      <c r="AMK393" s="26"/>
      <c r="AMP393" s="24"/>
      <c r="AMS393" s="24"/>
      <c r="AMU393" s="25"/>
      <c r="AMV393" s="26"/>
      <c r="ANA393" s="24"/>
      <c r="AND393" s="24"/>
      <c r="ANF393" s="25"/>
      <c r="ANG393" s="26"/>
      <c r="ANL393" s="24"/>
      <c r="ANO393" s="24"/>
      <c r="ANQ393" s="25"/>
      <c r="ANR393" s="26"/>
      <c r="ANW393" s="24"/>
      <c r="ANZ393" s="24"/>
      <c r="AOB393" s="25"/>
      <c r="AOC393" s="26"/>
      <c r="AOH393" s="24"/>
      <c r="AOK393" s="24"/>
      <c r="AOM393" s="25"/>
      <c r="AON393" s="26"/>
      <c r="AOS393" s="24"/>
      <c r="AOV393" s="24"/>
      <c r="AOX393" s="25"/>
      <c r="AOY393" s="26"/>
      <c r="APD393" s="24"/>
      <c r="APG393" s="24"/>
      <c r="API393" s="25"/>
      <c r="APJ393" s="26"/>
      <c r="APO393" s="24"/>
      <c r="APR393" s="24"/>
      <c r="APT393" s="25"/>
      <c r="APU393" s="26"/>
      <c r="APZ393" s="24"/>
      <c r="AQC393" s="24"/>
      <c r="AQE393" s="25"/>
      <c r="AQF393" s="26"/>
      <c r="AQK393" s="24"/>
      <c r="AQN393" s="24"/>
      <c r="AQP393" s="25"/>
      <c r="AQQ393" s="26"/>
      <c r="AQV393" s="24"/>
      <c r="AQY393" s="24"/>
      <c r="ARA393" s="25"/>
      <c r="ARB393" s="26"/>
      <c r="ARG393" s="24"/>
      <c r="ARJ393" s="24"/>
      <c r="ARL393" s="25"/>
      <c r="ARM393" s="26"/>
      <c r="ARR393" s="24"/>
      <c r="ARU393" s="24"/>
      <c r="ARW393" s="25"/>
      <c r="ARX393" s="26"/>
      <c r="ASC393" s="24"/>
      <c r="ASF393" s="24"/>
      <c r="ASH393" s="25"/>
      <c r="ASI393" s="26"/>
      <c r="ASN393" s="24"/>
      <c r="ASQ393" s="24"/>
      <c r="ASS393" s="25"/>
      <c r="AST393" s="26"/>
      <c r="ASY393" s="24"/>
      <c r="ATB393" s="24"/>
      <c r="ATD393" s="25"/>
      <c r="ATE393" s="26"/>
      <c r="ATJ393" s="24"/>
      <c r="ATM393" s="24"/>
      <c r="ATO393" s="25"/>
      <c r="ATP393" s="26"/>
      <c r="ATU393" s="24"/>
      <c r="ATX393" s="24"/>
      <c r="ATZ393" s="25"/>
      <c r="AUA393" s="26"/>
      <c r="AUF393" s="24"/>
      <c r="AUI393" s="24"/>
      <c r="AUK393" s="25"/>
      <c r="AUL393" s="26"/>
      <c r="AUQ393" s="24"/>
      <c r="AUT393" s="24"/>
      <c r="AUV393" s="25"/>
      <c r="AUW393" s="26"/>
      <c r="AVB393" s="24"/>
      <c r="AVE393" s="24"/>
      <c r="AVG393" s="25"/>
      <c r="AVH393" s="26"/>
      <c r="AVM393" s="24"/>
      <c r="AVP393" s="24"/>
      <c r="AVR393" s="25"/>
      <c r="AVS393" s="26"/>
      <c r="AVX393" s="24"/>
      <c r="AWA393" s="24"/>
      <c r="AWC393" s="25"/>
      <c r="AWD393" s="26"/>
      <c r="AWI393" s="24"/>
      <c r="AWL393" s="24"/>
      <c r="AWN393" s="25"/>
      <c r="AWO393" s="26"/>
      <c r="AWT393" s="24"/>
      <c r="AWW393" s="24"/>
      <c r="AWY393" s="25"/>
      <c r="AWZ393" s="26"/>
      <c r="AXE393" s="24"/>
      <c r="AXH393" s="24"/>
      <c r="AXJ393" s="25"/>
      <c r="AXK393" s="26"/>
      <c r="AXP393" s="24"/>
      <c r="AXS393" s="24"/>
      <c r="AXU393" s="25"/>
      <c r="AXV393" s="26"/>
      <c r="AYA393" s="24"/>
      <c r="AYD393" s="24"/>
      <c r="AYF393" s="25"/>
      <c r="AYG393" s="26"/>
      <c r="AYL393" s="24"/>
      <c r="AYO393" s="24"/>
      <c r="AYQ393" s="25"/>
      <c r="AYR393" s="26"/>
      <c r="AYW393" s="24"/>
      <c r="AYZ393" s="24"/>
      <c r="AZB393" s="25"/>
      <c r="AZC393" s="26"/>
      <c r="AZH393" s="24"/>
      <c r="AZK393" s="24"/>
      <c r="AZM393" s="25"/>
      <c r="AZN393" s="26"/>
      <c r="AZS393" s="24"/>
      <c r="AZV393" s="24"/>
      <c r="AZX393" s="25"/>
      <c r="AZY393" s="26"/>
      <c r="BAD393" s="24"/>
      <c r="BAG393" s="24"/>
      <c r="BAI393" s="25"/>
      <c r="BAJ393" s="26"/>
      <c r="BAO393" s="24"/>
      <c r="BAR393" s="24"/>
      <c r="BAT393" s="25"/>
      <c r="BAU393" s="26"/>
      <c r="BAZ393" s="24"/>
      <c r="BBC393" s="24"/>
      <c r="BBE393" s="25"/>
      <c r="BBF393" s="26"/>
      <c r="BBK393" s="24"/>
      <c r="BBN393" s="24"/>
      <c r="BBP393" s="25"/>
      <c r="BBQ393" s="26"/>
      <c r="BBV393" s="24"/>
      <c r="BBY393" s="24"/>
      <c r="BCA393" s="25"/>
      <c r="BCB393" s="26"/>
      <c r="BCG393" s="24"/>
      <c r="BCJ393" s="24"/>
      <c r="BCL393" s="25"/>
      <c r="BCM393" s="26"/>
      <c r="BCR393" s="24"/>
      <c r="BCU393" s="24"/>
      <c r="BCW393" s="25"/>
      <c r="BCX393" s="26"/>
      <c r="BDC393" s="24"/>
      <c r="BDF393" s="24"/>
      <c r="BDH393" s="25"/>
      <c r="BDI393" s="26"/>
      <c r="BDN393" s="24"/>
      <c r="BDQ393" s="24"/>
      <c r="BDS393" s="25"/>
      <c r="BDT393" s="26"/>
      <c r="BDY393" s="24"/>
      <c r="BEB393" s="24"/>
      <c r="BED393" s="25"/>
      <c r="BEE393" s="26"/>
      <c r="BEJ393" s="24"/>
      <c r="BEM393" s="24"/>
      <c r="BEO393" s="25"/>
      <c r="BEP393" s="26"/>
      <c r="BEU393" s="24"/>
      <c r="BEX393" s="24"/>
      <c r="BEZ393" s="25"/>
      <c r="BFA393" s="26"/>
      <c r="BFF393" s="24"/>
      <c r="BFI393" s="24"/>
      <c r="BFK393" s="25"/>
      <c r="BFL393" s="26"/>
      <c r="BFQ393" s="24"/>
      <c r="BFT393" s="24"/>
      <c r="BFV393" s="25"/>
      <c r="BFW393" s="26"/>
      <c r="BGB393" s="24"/>
      <c r="BGE393" s="24"/>
      <c r="BGG393" s="25"/>
      <c r="BGH393" s="26"/>
      <c r="BGM393" s="24"/>
      <c r="BGP393" s="24"/>
      <c r="BGR393" s="25"/>
      <c r="BGS393" s="26"/>
      <c r="BGX393" s="24"/>
      <c r="BHA393" s="24"/>
      <c r="BHC393" s="25"/>
      <c r="BHD393" s="26"/>
      <c r="BHI393" s="24"/>
      <c r="BHL393" s="24"/>
      <c r="BHN393" s="25"/>
      <c r="BHO393" s="26"/>
      <c r="BHT393" s="24"/>
      <c r="BHW393" s="24"/>
      <c r="BHY393" s="25"/>
      <c r="BHZ393" s="26"/>
      <c r="BIE393" s="24"/>
      <c r="BIH393" s="24"/>
      <c r="BIJ393" s="25"/>
      <c r="BIK393" s="26"/>
      <c r="BIP393" s="24"/>
      <c r="BIS393" s="24"/>
      <c r="BIU393" s="25"/>
      <c r="BIV393" s="26"/>
      <c r="BJA393" s="24"/>
      <c r="BJD393" s="24"/>
      <c r="BJF393" s="25"/>
      <c r="BJG393" s="26"/>
      <c r="BJL393" s="24"/>
      <c r="BJO393" s="24"/>
      <c r="BJQ393" s="25"/>
      <c r="BJR393" s="26"/>
      <c r="BJW393" s="24"/>
      <c r="BJZ393" s="24"/>
      <c r="BKB393" s="25"/>
      <c r="BKC393" s="26"/>
      <c r="BKH393" s="24"/>
      <c r="BKK393" s="24"/>
      <c r="BKM393" s="25"/>
      <c r="BKN393" s="26"/>
      <c r="BKS393" s="24"/>
      <c r="BKV393" s="24"/>
      <c r="BKX393" s="25"/>
      <c r="BKY393" s="26"/>
      <c r="BLD393" s="24"/>
      <c r="BLG393" s="24"/>
      <c r="BLI393" s="25"/>
      <c r="BLJ393" s="26"/>
      <c r="BLO393" s="24"/>
      <c r="BLR393" s="24"/>
      <c r="BLT393" s="25"/>
      <c r="BLU393" s="26"/>
      <c r="BLZ393" s="24"/>
      <c r="BMC393" s="24"/>
      <c r="BME393" s="25"/>
      <c r="BMF393" s="26"/>
      <c r="BMK393" s="24"/>
      <c r="BMN393" s="24"/>
      <c r="BMP393" s="25"/>
      <c r="BMQ393" s="26"/>
      <c r="BMV393" s="24"/>
      <c r="BMY393" s="24"/>
      <c r="BNA393" s="25"/>
      <c r="BNB393" s="26"/>
      <c r="BNG393" s="24"/>
      <c r="BNJ393" s="24"/>
      <c r="BNL393" s="25"/>
      <c r="BNM393" s="26"/>
      <c r="BNR393" s="24"/>
      <c r="BNU393" s="24"/>
      <c r="BNW393" s="25"/>
      <c r="BNX393" s="26"/>
      <c r="BOC393" s="24"/>
      <c r="BOF393" s="24"/>
      <c r="BOH393" s="25"/>
      <c r="BOI393" s="26"/>
      <c r="BON393" s="24"/>
      <c r="BOQ393" s="24"/>
      <c r="BOS393" s="25"/>
      <c r="BOT393" s="26"/>
      <c r="BOY393" s="24"/>
      <c r="BPB393" s="24"/>
      <c r="BPD393" s="25"/>
      <c r="BPE393" s="26"/>
      <c r="BPJ393" s="24"/>
      <c r="BPM393" s="24"/>
      <c r="BPO393" s="25"/>
      <c r="BPP393" s="26"/>
      <c r="BPU393" s="24"/>
      <c r="BPX393" s="24"/>
      <c r="BPZ393" s="25"/>
      <c r="BQA393" s="26"/>
      <c r="BQF393" s="24"/>
      <c r="BQI393" s="24"/>
      <c r="BQK393" s="25"/>
      <c r="BQL393" s="26"/>
      <c r="BQQ393" s="24"/>
      <c r="BQT393" s="24"/>
      <c r="BQV393" s="25"/>
      <c r="BQW393" s="26"/>
      <c r="BRB393" s="24"/>
      <c r="BRE393" s="24"/>
      <c r="BRG393" s="25"/>
      <c r="BRH393" s="26"/>
      <c r="BRM393" s="24"/>
      <c r="BRP393" s="24"/>
      <c r="BRR393" s="25"/>
      <c r="BRS393" s="26"/>
      <c r="BRX393" s="24"/>
      <c r="BSA393" s="24"/>
      <c r="BSC393" s="25"/>
      <c r="BSD393" s="26"/>
      <c r="BSI393" s="24"/>
      <c r="BSL393" s="24"/>
      <c r="BSN393" s="25"/>
      <c r="BSO393" s="26"/>
      <c r="BST393" s="24"/>
      <c r="BSW393" s="24"/>
      <c r="BSY393" s="25"/>
      <c r="BSZ393" s="26"/>
      <c r="BTE393" s="24"/>
      <c r="BTH393" s="24"/>
      <c r="BTJ393" s="25"/>
      <c r="BTK393" s="26"/>
      <c r="BTP393" s="24"/>
      <c r="BTS393" s="24"/>
      <c r="BTU393" s="25"/>
      <c r="BTV393" s="26"/>
      <c r="BUA393" s="24"/>
      <c r="BUD393" s="24"/>
      <c r="BUF393" s="25"/>
      <c r="BUG393" s="26"/>
      <c r="BUL393" s="24"/>
      <c r="BUO393" s="24"/>
      <c r="BUQ393" s="25"/>
      <c r="BUR393" s="26"/>
      <c r="BUW393" s="24"/>
      <c r="BUZ393" s="24"/>
      <c r="BVB393" s="25"/>
      <c r="BVC393" s="26"/>
      <c r="BVH393" s="24"/>
      <c r="BVK393" s="24"/>
      <c r="BVM393" s="25"/>
      <c r="BVN393" s="26"/>
      <c r="BVS393" s="24"/>
      <c r="BVV393" s="24"/>
      <c r="BVX393" s="25"/>
      <c r="BVY393" s="26"/>
      <c r="BWD393" s="24"/>
      <c r="BWG393" s="24"/>
      <c r="BWI393" s="25"/>
      <c r="BWJ393" s="26"/>
      <c r="BWO393" s="24"/>
      <c r="BWR393" s="24"/>
      <c r="BWT393" s="25"/>
      <c r="BWU393" s="26"/>
      <c r="BWZ393" s="24"/>
      <c r="BXC393" s="24"/>
      <c r="BXE393" s="25"/>
      <c r="BXF393" s="26"/>
      <c r="BXK393" s="24"/>
      <c r="BXN393" s="24"/>
      <c r="BXP393" s="25"/>
      <c r="BXQ393" s="26"/>
      <c r="BXV393" s="24"/>
      <c r="BXY393" s="24"/>
      <c r="BYA393" s="25"/>
      <c r="BYB393" s="26"/>
      <c r="BYG393" s="24"/>
      <c r="BYJ393" s="24"/>
      <c r="BYL393" s="25"/>
      <c r="BYM393" s="26"/>
      <c r="BYR393" s="24"/>
      <c r="BYU393" s="24"/>
      <c r="BYW393" s="25"/>
      <c r="BYX393" s="26"/>
      <c r="BZC393" s="24"/>
      <c r="BZF393" s="24"/>
      <c r="BZH393" s="25"/>
      <c r="BZI393" s="26"/>
      <c r="BZN393" s="24"/>
      <c r="BZQ393" s="24"/>
      <c r="BZS393" s="25"/>
      <c r="BZT393" s="26"/>
      <c r="BZY393" s="24"/>
      <c r="CAB393" s="24"/>
      <c r="CAD393" s="25"/>
      <c r="CAE393" s="26"/>
      <c r="CAJ393" s="24"/>
      <c r="CAM393" s="24"/>
      <c r="CAO393" s="25"/>
      <c r="CAP393" s="26"/>
      <c r="CAU393" s="24"/>
      <c r="CAX393" s="24"/>
      <c r="CAZ393" s="25"/>
      <c r="CBA393" s="26"/>
      <c r="CBF393" s="24"/>
      <c r="CBI393" s="24"/>
      <c r="CBK393" s="25"/>
      <c r="CBL393" s="26"/>
      <c r="CBQ393" s="24"/>
      <c r="CBT393" s="24"/>
      <c r="CBV393" s="25"/>
      <c r="CBW393" s="26"/>
      <c r="CCB393" s="24"/>
      <c r="CCE393" s="24"/>
      <c r="CCG393" s="25"/>
      <c r="CCH393" s="26"/>
      <c r="CCM393" s="24"/>
      <c r="CCP393" s="24"/>
      <c r="CCR393" s="25"/>
      <c r="CCS393" s="26"/>
      <c r="CCX393" s="24"/>
      <c r="CDA393" s="24"/>
      <c r="CDC393" s="25"/>
      <c r="CDD393" s="26"/>
      <c r="CDI393" s="24"/>
      <c r="CDL393" s="24"/>
      <c r="CDN393" s="25"/>
      <c r="CDO393" s="26"/>
      <c r="CDT393" s="24"/>
      <c r="CDW393" s="24"/>
      <c r="CDY393" s="25"/>
      <c r="CDZ393" s="26"/>
      <c r="CEE393" s="24"/>
      <c r="CEH393" s="24"/>
      <c r="CEJ393" s="25"/>
      <c r="CEK393" s="26"/>
      <c r="CEP393" s="24"/>
      <c r="CES393" s="24"/>
      <c r="CEU393" s="25"/>
      <c r="CEV393" s="26"/>
      <c r="CFA393" s="24"/>
      <c r="CFD393" s="24"/>
      <c r="CFF393" s="25"/>
      <c r="CFG393" s="26"/>
      <c r="CFL393" s="24"/>
      <c r="CFO393" s="24"/>
      <c r="CFQ393" s="25"/>
      <c r="CFR393" s="26"/>
      <c r="CFW393" s="24"/>
      <c r="CFZ393" s="24"/>
      <c r="CGB393" s="25"/>
      <c r="CGC393" s="26"/>
      <c r="CGH393" s="24"/>
      <c r="CGK393" s="24"/>
      <c r="CGM393" s="25"/>
      <c r="CGN393" s="26"/>
      <c r="CGS393" s="24"/>
      <c r="CGV393" s="24"/>
      <c r="CGX393" s="25"/>
      <c r="CGY393" s="26"/>
      <c r="CHD393" s="24"/>
      <c r="CHG393" s="24"/>
      <c r="CHI393" s="25"/>
      <c r="CHJ393" s="26"/>
      <c r="CHO393" s="24"/>
      <c r="CHR393" s="24"/>
      <c r="CHT393" s="25"/>
      <c r="CHU393" s="26"/>
      <c r="CHZ393" s="24"/>
      <c r="CIC393" s="24"/>
      <c r="CIE393" s="25"/>
      <c r="CIF393" s="26"/>
      <c r="CIK393" s="24"/>
      <c r="CIN393" s="24"/>
      <c r="CIP393" s="25"/>
      <c r="CIQ393" s="26"/>
      <c r="CIV393" s="24"/>
      <c r="CIY393" s="24"/>
      <c r="CJA393" s="25"/>
      <c r="CJB393" s="26"/>
      <c r="CJG393" s="24"/>
      <c r="CJJ393" s="24"/>
      <c r="CJL393" s="25"/>
      <c r="CJM393" s="26"/>
      <c r="CJR393" s="24"/>
      <c r="CJU393" s="24"/>
      <c r="CJW393" s="25"/>
      <c r="CJX393" s="26"/>
      <c r="CKC393" s="24"/>
      <c r="CKF393" s="24"/>
      <c r="CKH393" s="25"/>
      <c r="CKI393" s="26"/>
      <c r="CKN393" s="24"/>
      <c r="CKQ393" s="24"/>
      <c r="CKS393" s="25"/>
      <c r="CKT393" s="26"/>
      <c r="CKY393" s="24"/>
      <c r="CLB393" s="24"/>
      <c r="CLD393" s="25"/>
      <c r="CLE393" s="26"/>
      <c r="CLJ393" s="24"/>
      <c r="CLM393" s="24"/>
      <c r="CLO393" s="25"/>
      <c r="CLP393" s="26"/>
      <c r="CLU393" s="24"/>
      <c r="CLX393" s="24"/>
      <c r="CLZ393" s="25"/>
      <c r="CMA393" s="26"/>
      <c r="CMF393" s="24"/>
      <c r="CMI393" s="24"/>
      <c r="CMK393" s="25"/>
      <c r="CML393" s="26"/>
      <c r="CMQ393" s="24"/>
      <c r="CMT393" s="24"/>
      <c r="CMV393" s="25"/>
      <c r="CMW393" s="26"/>
      <c r="CNB393" s="24"/>
      <c r="CNE393" s="24"/>
      <c r="CNG393" s="25"/>
      <c r="CNH393" s="26"/>
      <c r="CNM393" s="24"/>
      <c r="CNP393" s="24"/>
      <c r="CNR393" s="25"/>
      <c r="CNS393" s="26"/>
      <c r="CNX393" s="24"/>
      <c r="COA393" s="24"/>
      <c r="COC393" s="25"/>
      <c r="COD393" s="26"/>
      <c r="COI393" s="24"/>
      <c r="COL393" s="24"/>
      <c r="CON393" s="25"/>
      <c r="COO393" s="26"/>
      <c r="COT393" s="24"/>
      <c r="COW393" s="24"/>
      <c r="COY393" s="25"/>
      <c r="COZ393" s="26"/>
      <c r="CPE393" s="24"/>
      <c r="CPH393" s="24"/>
      <c r="CPJ393" s="25"/>
      <c r="CPK393" s="26"/>
      <c r="CPP393" s="24"/>
      <c r="CPS393" s="24"/>
      <c r="CPU393" s="25"/>
      <c r="CPV393" s="26"/>
      <c r="CQA393" s="24"/>
      <c r="CQD393" s="24"/>
      <c r="CQF393" s="25"/>
      <c r="CQG393" s="26"/>
      <c r="CQL393" s="24"/>
      <c r="CQO393" s="24"/>
      <c r="CQQ393" s="25"/>
      <c r="CQR393" s="26"/>
      <c r="CQW393" s="24"/>
      <c r="CQZ393" s="24"/>
      <c r="CRB393" s="25"/>
      <c r="CRC393" s="26"/>
      <c r="CRH393" s="24"/>
      <c r="CRK393" s="24"/>
      <c r="CRM393" s="25"/>
      <c r="CRN393" s="26"/>
      <c r="CRS393" s="24"/>
      <c r="CRV393" s="24"/>
      <c r="CRX393" s="25"/>
      <c r="CRY393" s="26"/>
      <c r="CSD393" s="24"/>
      <c r="CSG393" s="24"/>
      <c r="CSI393" s="25"/>
      <c r="CSJ393" s="26"/>
      <c r="CSO393" s="24"/>
      <c r="CSR393" s="24"/>
      <c r="CST393" s="25"/>
      <c r="CSU393" s="26"/>
      <c r="CSZ393" s="24"/>
      <c r="CTC393" s="24"/>
      <c r="CTE393" s="25"/>
      <c r="CTF393" s="26"/>
      <c r="CTK393" s="24"/>
      <c r="CTN393" s="24"/>
      <c r="CTP393" s="25"/>
      <c r="CTQ393" s="26"/>
      <c r="CTV393" s="24"/>
      <c r="CTY393" s="24"/>
      <c r="CUA393" s="25"/>
      <c r="CUB393" s="26"/>
      <c r="CUG393" s="24"/>
      <c r="CUJ393" s="24"/>
      <c r="CUL393" s="25"/>
      <c r="CUM393" s="26"/>
      <c r="CUR393" s="24"/>
      <c r="CUU393" s="24"/>
      <c r="CUW393" s="25"/>
      <c r="CUX393" s="26"/>
      <c r="CVC393" s="24"/>
      <c r="CVF393" s="24"/>
      <c r="CVH393" s="25"/>
      <c r="CVI393" s="26"/>
      <c r="CVN393" s="24"/>
      <c r="CVQ393" s="24"/>
      <c r="CVS393" s="25"/>
      <c r="CVT393" s="26"/>
      <c r="CVY393" s="24"/>
      <c r="CWB393" s="24"/>
      <c r="CWD393" s="25"/>
      <c r="CWE393" s="26"/>
      <c r="CWJ393" s="24"/>
      <c r="CWM393" s="24"/>
      <c r="CWO393" s="25"/>
      <c r="CWP393" s="26"/>
      <c r="CWU393" s="24"/>
      <c r="CWX393" s="24"/>
      <c r="CWZ393" s="25"/>
      <c r="CXA393" s="26"/>
      <c r="CXF393" s="24"/>
      <c r="CXI393" s="24"/>
      <c r="CXK393" s="25"/>
      <c r="CXL393" s="26"/>
      <c r="CXQ393" s="24"/>
      <c r="CXT393" s="24"/>
      <c r="CXV393" s="25"/>
      <c r="CXW393" s="26"/>
      <c r="CYB393" s="24"/>
      <c r="CYE393" s="24"/>
      <c r="CYG393" s="25"/>
      <c r="CYH393" s="26"/>
      <c r="CYM393" s="24"/>
      <c r="CYP393" s="24"/>
      <c r="CYR393" s="25"/>
      <c r="CYS393" s="26"/>
      <c r="CYX393" s="24"/>
      <c r="CZA393" s="24"/>
      <c r="CZC393" s="25"/>
      <c r="CZD393" s="26"/>
      <c r="CZI393" s="24"/>
      <c r="CZL393" s="24"/>
      <c r="CZN393" s="25"/>
      <c r="CZO393" s="26"/>
      <c r="CZT393" s="24"/>
      <c r="CZW393" s="24"/>
      <c r="CZY393" s="25"/>
      <c r="CZZ393" s="26"/>
      <c r="DAE393" s="24"/>
      <c r="DAH393" s="24"/>
      <c r="DAJ393" s="25"/>
      <c r="DAK393" s="26"/>
      <c r="DAP393" s="24"/>
      <c r="DAS393" s="24"/>
      <c r="DAU393" s="25"/>
      <c r="DAV393" s="26"/>
      <c r="DBA393" s="24"/>
      <c r="DBD393" s="24"/>
      <c r="DBF393" s="25"/>
      <c r="DBG393" s="26"/>
      <c r="DBL393" s="24"/>
      <c r="DBO393" s="24"/>
      <c r="DBQ393" s="25"/>
      <c r="DBR393" s="26"/>
      <c r="DBW393" s="24"/>
      <c r="DBZ393" s="24"/>
      <c r="DCB393" s="25"/>
      <c r="DCC393" s="26"/>
      <c r="DCH393" s="24"/>
      <c r="DCK393" s="24"/>
      <c r="DCM393" s="25"/>
      <c r="DCN393" s="26"/>
      <c r="DCS393" s="24"/>
      <c r="DCV393" s="24"/>
      <c r="DCX393" s="25"/>
      <c r="DCY393" s="26"/>
      <c r="DDD393" s="24"/>
      <c r="DDG393" s="24"/>
      <c r="DDI393" s="25"/>
      <c r="DDJ393" s="26"/>
      <c r="DDO393" s="24"/>
      <c r="DDR393" s="24"/>
      <c r="DDT393" s="25"/>
      <c r="DDU393" s="26"/>
      <c r="DDZ393" s="24"/>
      <c r="DEC393" s="24"/>
      <c r="DEE393" s="25"/>
      <c r="DEF393" s="26"/>
      <c r="DEK393" s="24"/>
      <c r="DEN393" s="24"/>
      <c r="DEP393" s="25"/>
      <c r="DEQ393" s="26"/>
      <c r="DEV393" s="24"/>
      <c r="DEY393" s="24"/>
      <c r="DFA393" s="25"/>
      <c r="DFB393" s="26"/>
      <c r="DFG393" s="24"/>
      <c r="DFJ393" s="24"/>
      <c r="DFL393" s="25"/>
      <c r="DFM393" s="26"/>
      <c r="DFR393" s="24"/>
      <c r="DFU393" s="24"/>
      <c r="DFW393" s="25"/>
      <c r="DFX393" s="26"/>
      <c r="DGC393" s="24"/>
      <c r="DGF393" s="24"/>
      <c r="DGH393" s="25"/>
      <c r="DGI393" s="26"/>
      <c r="DGN393" s="24"/>
      <c r="DGQ393" s="24"/>
      <c r="DGS393" s="25"/>
      <c r="DGT393" s="26"/>
      <c r="DGY393" s="24"/>
      <c r="DHB393" s="24"/>
      <c r="DHD393" s="25"/>
      <c r="DHE393" s="26"/>
      <c r="DHJ393" s="24"/>
      <c r="DHM393" s="24"/>
      <c r="DHO393" s="25"/>
      <c r="DHP393" s="26"/>
      <c r="DHU393" s="24"/>
      <c r="DHX393" s="24"/>
      <c r="DHZ393" s="25"/>
      <c r="DIA393" s="26"/>
      <c r="DIF393" s="24"/>
      <c r="DII393" s="24"/>
      <c r="DIK393" s="25"/>
      <c r="DIL393" s="26"/>
      <c r="DIQ393" s="24"/>
      <c r="DIT393" s="24"/>
      <c r="DIV393" s="25"/>
      <c r="DIW393" s="26"/>
      <c r="DJB393" s="24"/>
      <c r="DJE393" s="24"/>
      <c r="DJG393" s="25"/>
      <c r="DJH393" s="26"/>
      <c r="DJM393" s="24"/>
      <c r="DJP393" s="24"/>
      <c r="DJR393" s="25"/>
      <c r="DJS393" s="26"/>
      <c r="DJX393" s="24"/>
      <c r="DKA393" s="24"/>
      <c r="DKC393" s="25"/>
      <c r="DKD393" s="26"/>
      <c r="DKI393" s="24"/>
      <c r="DKL393" s="24"/>
      <c r="DKN393" s="25"/>
      <c r="DKO393" s="26"/>
      <c r="DKT393" s="24"/>
      <c r="DKW393" s="24"/>
      <c r="DKY393" s="25"/>
      <c r="DKZ393" s="26"/>
      <c r="DLE393" s="24"/>
      <c r="DLH393" s="24"/>
      <c r="DLJ393" s="25"/>
      <c r="DLK393" s="26"/>
      <c r="DLP393" s="24"/>
      <c r="DLS393" s="24"/>
      <c r="DLU393" s="25"/>
      <c r="DLV393" s="26"/>
      <c r="DMA393" s="24"/>
      <c r="DMD393" s="24"/>
      <c r="DMF393" s="25"/>
      <c r="DMG393" s="26"/>
      <c r="DML393" s="24"/>
      <c r="DMO393" s="24"/>
      <c r="DMQ393" s="25"/>
      <c r="DMR393" s="26"/>
      <c r="DMW393" s="24"/>
      <c r="DMZ393" s="24"/>
      <c r="DNB393" s="25"/>
      <c r="DNC393" s="26"/>
      <c r="DNH393" s="24"/>
      <c r="DNK393" s="24"/>
      <c r="DNM393" s="25"/>
      <c r="DNN393" s="26"/>
      <c r="DNS393" s="24"/>
      <c r="DNV393" s="24"/>
      <c r="DNX393" s="25"/>
      <c r="DNY393" s="26"/>
      <c r="DOD393" s="24"/>
      <c r="DOG393" s="24"/>
      <c r="DOI393" s="25"/>
      <c r="DOJ393" s="26"/>
      <c r="DOO393" s="24"/>
      <c r="DOR393" s="24"/>
      <c r="DOT393" s="25"/>
      <c r="DOU393" s="26"/>
      <c r="DOZ393" s="24"/>
      <c r="DPC393" s="24"/>
      <c r="DPE393" s="25"/>
      <c r="DPF393" s="26"/>
      <c r="DPK393" s="24"/>
      <c r="DPN393" s="24"/>
      <c r="DPP393" s="25"/>
      <c r="DPQ393" s="26"/>
      <c r="DPV393" s="24"/>
      <c r="DPY393" s="24"/>
      <c r="DQA393" s="25"/>
      <c r="DQB393" s="26"/>
      <c r="DQG393" s="24"/>
      <c r="DQJ393" s="24"/>
      <c r="DQL393" s="25"/>
      <c r="DQM393" s="26"/>
      <c r="DQR393" s="24"/>
      <c r="DQU393" s="24"/>
      <c r="DQW393" s="25"/>
      <c r="DQX393" s="26"/>
      <c r="DRC393" s="24"/>
      <c r="DRF393" s="24"/>
      <c r="DRH393" s="25"/>
      <c r="DRI393" s="26"/>
      <c r="DRN393" s="24"/>
      <c r="DRQ393" s="24"/>
      <c r="DRS393" s="25"/>
      <c r="DRT393" s="26"/>
      <c r="DRY393" s="24"/>
      <c r="DSB393" s="24"/>
      <c r="DSD393" s="25"/>
      <c r="DSE393" s="26"/>
      <c r="DSJ393" s="24"/>
      <c r="DSM393" s="24"/>
      <c r="DSO393" s="25"/>
      <c r="DSP393" s="26"/>
      <c r="DSU393" s="24"/>
      <c r="DSX393" s="24"/>
      <c r="DSZ393" s="25"/>
      <c r="DTA393" s="26"/>
      <c r="DTF393" s="24"/>
      <c r="DTI393" s="24"/>
      <c r="DTK393" s="25"/>
      <c r="DTL393" s="26"/>
      <c r="DTQ393" s="24"/>
      <c r="DTT393" s="24"/>
      <c r="DTV393" s="25"/>
      <c r="DTW393" s="26"/>
      <c r="DUB393" s="24"/>
      <c r="DUE393" s="24"/>
      <c r="DUG393" s="25"/>
      <c r="DUH393" s="26"/>
      <c r="DUM393" s="24"/>
      <c r="DUP393" s="24"/>
      <c r="DUR393" s="25"/>
      <c r="DUS393" s="26"/>
      <c r="DUX393" s="24"/>
      <c r="DVA393" s="24"/>
      <c r="DVC393" s="25"/>
      <c r="DVD393" s="26"/>
      <c r="DVI393" s="24"/>
      <c r="DVL393" s="24"/>
      <c r="DVN393" s="25"/>
      <c r="DVO393" s="26"/>
      <c r="DVT393" s="24"/>
      <c r="DVW393" s="24"/>
      <c r="DVY393" s="25"/>
      <c r="DVZ393" s="26"/>
      <c r="DWE393" s="24"/>
      <c r="DWH393" s="24"/>
      <c r="DWJ393" s="25"/>
      <c r="DWK393" s="26"/>
      <c r="DWP393" s="24"/>
      <c r="DWS393" s="24"/>
      <c r="DWU393" s="25"/>
      <c r="DWV393" s="26"/>
      <c r="DXA393" s="24"/>
      <c r="DXD393" s="24"/>
      <c r="DXF393" s="25"/>
      <c r="DXG393" s="26"/>
      <c r="DXL393" s="24"/>
      <c r="DXO393" s="24"/>
      <c r="DXQ393" s="25"/>
      <c r="DXR393" s="26"/>
      <c r="DXW393" s="24"/>
      <c r="DXZ393" s="24"/>
      <c r="DYB393" s="25"/>
      <c r="DYC393" s="26"/>
      <c r="DYH393" s="24"/>
      <c r="DYK393" s="24"/>
      <c r="DYM393" s="25"/>
      <c r="DYN393" s="26"/>
      <c r="DYS393" s="24"/>
      <c r="DYV393" s="24"/>
      <c r="DYX393" s="25"/>
      <c r="DYY393" s="26"/>
      <c r="DZD393" s="24"/>
      <c r="DZG393" s="24"/>
      <c r="DZI393" s="25"/>
      <c r="DZJ393" s="26"/>
      <c r="DZO393" s="24"/>
      <c r="DZR393" s="24"/>
      <c r="DZT393" s="25"/>
      <c r="DZU393" s="26"/>
      <c r="DZZ393" s="24"/>
      <c r="EAC393" s="24"/>
      <c r="EAE393" s="25"/>
      <c r="EAF393" s="26"/>
      <c r="EAK393" s="24"/>
      <c r="EAN393" s="24"/>
      <c r="EAP393" s="25"/>
      <c r="EAQ393" s="26"/>
      <c r="EAV393" s="24"/>
      <c r="EAY393" s="24"/>
      <c r="EBA393" s="25"/>
      <c r="EBB393" s="26"/>
      <c r="EBG393" s="24"/>
      <c r="EBJ393" s="24"/>
      <c r="EBL393" s="25"/>
      <c r="EBM393" s="26"/>
      <c r="EBR393" s="24"/>
      <c r="EBU393" s="24"/>
      <c r="EBW393" s="25"/>
      <c r="EBX393" s="26"/>
      <c r="ECC393" s="24"/>
      <c r="ECF393" s="24"/>
      <c r="ECH393" s="25"/>
      <c r="ECI393" s="26"/>
      <c r="ECN393" s="24"/>
      <c r="ECQ393" s="24"/>
      <c r="ECS393" s="25"/>
      <c r="ECT393" s="26"/>
      <c r="ECY393" s="24"/>
      <c r="EDB393" s="24"/>
      <c r="EDD393" s="25"/>
      <c r="EDE393" s="26"/>
      <c r="EDJ393" s="24"/>
      <c r="EDM393" s="24"/>
      <c r="EDO393" s="25"/>
      <c r="EDP393" s="26"/>
      <c r="EDU393" s="24"/>
      <c r="EDX393" s="24"/>
      <c r="EDZ393" s="25"/>
      <c r="EEA393" s="26"/>
      <c r="EEF393" s="24"/>
      <c r="EEI393" s="24"/>
      <c r="EEK393" s="25"/>
      <c r="EEL393" s="26"/>
      <c r="EEQ393" s="24"/>
      <c r="EET393" s="24"/>
      <c r="EEV393" s="25"/>
      <c r="EEW393" s="26"/>
      <c r="EFB393" s="24"/>
      <c r="EFE393" s="24"/>
      <c r="EFG393" s="25"/>
      <c r="EFH393" s="26"/>
      <c r="EFM393" s="24"/>
      <c r="EFP393" s="24"/>
      <c r="EFR393" s="25"/>
      <c r="EFS393" s="26"/>
      <c r="EFX393" s="24"/>
      <c r="EGA393" s="24"/>
      <c r="EGC393" s="25"/>
      <c r="EGD393" s="26"/>
      <c r="EGI393" s="24"/>
      <c r="EGL393" s="24"/>
      <c r="EGN393" s="25"/>
      <c r="EGO393" s="26"/>
      <c r="EGT393" s="24"/>
      <c r="EGW393" s="24"/>
      <c r="EGY393" s="25"/>
      <c r="EGZ393" s="26"/>
      <c r="EHE393" s="24"/>
      <c r="EHH393" s="24"/>
      <c r="EHJ393" s="25"/>
      <c r="EHK393" s="26"/>
      <c r="EHP393" s="24"/>
      <c r="EHS393" s="24"/>
      <c r="EHU393" s="25"/>
      <c r="EHV393" s="26"/>
      <c r="EIA393" s="24"/>
      <c r="EID393" s="24"/>
      <c r="EIF393" s="25"/>
      <c r="EIG393" s="26"/>
      <c r="EIL393" s="24"/>
      <c r="EIO393" s="24"/>
      <c r="EIQ393" s="25"/>
      <c r="EIR393" s="26"/>
      <c r="EIW393" s="24"/>
      <c r="EIZ393" s="24"/>
      <c r="EJB393" s="25"/>
      <c r="EJC393" s="26"/>
      <c r="EJH393" s="24"/>
      <c r="EJK393" s="24"/>
      <c r="EJM393" s="25"/>
      <c r="EJN393" s="26"/>
      <c r="EJS393" s="24"/>
      <c r="EJV393" s="24"/>
      <c r="EJX393" s="25"/>
      <c r="EJY393" s="26"/>
      <c r="EKD393" s="24"/>
      <c r="EKG393" s="24"/>
      <c r="EKI393" s="25"/>
      <c r="EKJ393" s="26"/>
      <c r="EKO393" s="24"/>
      <c r="EKR393" s="24"/>
      <c r="EKT393" s="25"/>
      <c r="EKU393" s="26"/>
      <c r="EKZ393" s="24"/>
      <c r="ELC393" s="24"/>
      <c r="ELE393" s="25"/>
      <c r="ELF393" s="26"/>
      <c r="ELK393" s="24"/>
      <c r="ELN393" s="24"/>
      <c r="ELP393" s="25"/>
      <c r="ELQ393" s="26"/>
      <c r="ELV393" s="24"/>
      <c r="ELY393" s="24"/>
      <c r="EMA393" s="25"/>
      <c r="EMB393" s="26"/>
      <c r="EMG393" s="24"/>
      <c r="EMJ393" s="24"/>
      <c r="EML393" s="25"/>
      <c r="EMM393" s="26"/>
      <c r="EMR393" s="24"/>
      <c r="EMU393" s="24"/>
      <c r="EMW393" s="25"/>
      <c r="EMX393" s="26"/>
      <c r="ENC393" s="24"/>
      <c r="ENF393" s="24"/>
      <c r="ENH393" s="25"/>
      <c r="ENI393" s="26"/>
      <c r="ENN393" s="24"/>
      <c r="ENQ393" s="24"/>
      <c r="ENS393" s="25"/>
      <c r="ENT393" s="26"/>
      <c r="ENY393" s="24"/>
      <c r="EOB393" s="24"/>
      <c r="EOD393" s="25"/>
      <c r="EOE393" s="26"/>
      <c r="EOJ393" s="24"/>
      <c r="EOM393" s="24"/>
      <c r="EOO393" s="25"/>
      <c r="EOP393" s="26"/>
      <c r="EOU393" s="24"/>
      <c r="EOX393" s="24"/>
      <c r="EOZ393" s="25"/>
      <c r="EPA393" s="26"/>
      <c r="EPF393" s="24"/>
      <c r="EPI393" s="24"/>
      <c r="EPK393" s="25"/>
      <c r="EPL393" s="26"/>
      <c r="EPQ393" s="24"/>
      <c r="EPT393" s="24"/>
      <c r="EPV393" s="25"/>
      <c r="EPW393" s="26"/>
      <c r="EQB393" s="24"/>
      <c r="EQE393" s="24"/>
      <c r="EQG393" s="25"/>
      <c r="EQH393" s="26"/>
      <c r="EQM393" s="24"/>
      <c r="EQP393" s="24"/>
      <c r="EQR393" s="25"/>
      <c r="EQS393" s="26"/>
      <c r="EQX393" s="24"/>
      <c r="ERA393" s="24"/>
      <c r="ERC393" s="25"/>
      <c r="ERD393" s="26"/>
      <c r="ERI393" s="24"/>
      <c r="ERL393" s="24"/>
      <c r="ERN393" s="25"/>
      <c r="ERO393" s="26"/>
      <c r="ERT393" s="24"/>
      <c r="ERW393" s="24"/>
      <c r="ERY393" s="25"/>
      <c r="ERZ393" s="26"/>
      <c r="ESE393" s="24"/>
      <c r="ESH393" s="24"/>
      <c r="ESJ393" s="25"/>
      <c r="ESK393" s="26"/>
      <c r="ESP393" s="24"/>
      <c r="ESS393" s="24"/>
      <c r="ESU393" s="25"/>
      <c r="ESV393" s="26"/>
      <c r="ETA393" s="24"/>
      <c r="ETD393" s="24"/>
      <c r="ETF393" s="25"/>
      <c r="ETG393" s="26"/>
      <c r="ETL393" s="24"/>
      <c r="ETO393" s="24"/>
      <c r="ETQ393" s="25"/>
      <c r="ETR393" s="26"/>
      <c r="ETW393" s="24"/>
      <c r="ETZ393" s="24"/>
      <c r="EUB393" s="25"/>
      <c r="EUC393" s="26"/>
      <c r="EUH393" s="24"/>
      <c r="EUK393" s="24"/>
      <c r="EUM393" s="25"/>
      <c r="EUN393" s="26"/>
      <c r="EUS393" s="24"/>
      <c r="EUV393" s="24"/>
      <c r="EUX393" s="25"/>
      <c r="EUY393" s="26"/>
      <c r="EVD393" s="24"/>
      <c r="EVG393" s="24"/>
      <c r="EVI393" s="25"/>
      <c r="EVJ393" s="26"/>
      <c r="EVO393" s="24"/>
      <c r="EVR393" s="24"/>
      <c r="EVT393" s="25"/>
      <c r="EVU393" s="26"/>
      <c r="EVZ393" s="24"/>
      <c r="EWC393" s="24"/>
      <c r="EWE393" s="25"/>
      <c r="EWF393" s="26"/>
      <c r="EWK393" s="24"/>
      <c r="EWN393" s="24"/>
      <c r="EWP393" s="25"/>
      <c r="EWQ393" s="26"/>
      <c r="EWV393" s="24"/>
      <c r="EWY393" s="24"/>
      <c r="EXA393" s="25"/>
      <c r="EXB393" s="26"/>
      <c r="EXG393" s="24"/>
      <c r="EXJ393" s="24"/>
      <c r="EXL393" s="25"/>
      <c r="EXM393" s="26"/>
      <c r="EXR393" s="24"/>
      <c r="EXU393" s="24"/>
      <c r="EXW393" s="25"/>
      <c r="EXX393" s="26"/>
      <c r="EYC393" s="24"/>
      <c r="EYF393" s="24"/>
      <c r="EYH393" s="25"/>
      <c r="EYI393" s="26"/>
      <c r="EYN393" s="24"/>
      <c r="EYQ393" s="24"/>
      <c r="EYS393" s="25"/>
      <c r="EYT393" s="26"/>
      <c r="EYY393" s="24"/>
      <c r="EZB393" s="24"/>
      <c r="EZD393" s="25"/>
      <c r="EZE393" s="26"/>
      <c r="EZJ393" s="24"/>
      <c r="EZM393" s="24"/>
      <c r="EZO393" s="25"/>
      <c r="EZP393" s="26"/>
      <c r="EZU393" s="24"/>
      <c r="EZX393" s="24"/>
      <c r="EZZ393" s="25"/>
      <c r="FAA393" s="26"/>
      <c r="FAF393" s="24"/>
      <c r="FAI393" s="24"/>
      <c r="FAK393" s="25"/>
      <c r="FAL393" s="26"/>
      <c r="FAQ393" s="24"/>
      <c r="FAT393" s="24"/>
      <c r="FAV393" s="25"/>
      <c r="FAW393" s="26"/>
      <c r="FBB393" s="24"/>
      <c r="FBE393" s="24"/>
      <c r="FBG393" s="25"/>
      <c r="FBH393" s="26"/>
      <c r="FBM393" s="24"/>
      <c r="FBP393" s="24"/>
      <c r="FBR393" s="25"/>
      <c r="FBS393" s="26"/>
      <c r="FBX393" s="24"/>
      <c r="FCA393" s="24"/>
      <c r="FCC393" s="25"/>
      <c r="FCD393" s="26"/>
      <c r="FCI393" s="24"/>
      <c r="FCL393" s="24"/>
      <c r="FCN393" s="25"/>
      <c r="FCO393" s="26"/>
      <c r="FCT393" s="24"/>
      <c r="FCW393" s="24"/>
      <c r="FCY393" s="25"/>
      <c r="FCZ393" s="26"/>
      <c r="FDE393" s="24"/>
      <c r="FDH393" s="24"/>
      <c r="FDJ393" s="25"/>
      <c r="FDK393" s="26"/>
      <c r="FDP393" s="24"/>
      <c r="FDS393" s="24"/>
      <c r="FDU393" s="25"/>
      <c r="FDV393" s="26"/>
      <c r="FEA393" s="24"/>
      <c r="FED393" s="24"/>
      <c r="FEF393" s="25"/>
      <c r="FEG393" s="26"/>
      <c r="FEL393" s="24"/>
      <c r="FEO393" s="24"/>
      <c r="FEQ393" s="25"/>
      <c r="FER393" s="26"/>
      <c r="FEW393" s="24"/>
      <c r="FEZ393" s="24"/>
      <c r="FFB393" s="25"/>
      <c r="FFC393" s="26"/>
      <c r="FFH393" s="24"/>
      <c r="FFK393" s="24"/>
      <c r="FFM393" s="25"/>
      <c r="FFN393" s="26"/>
      <c r="FFS393" s="24"/>
      <c r="FFV393" s="24"/>
      <c r="FFX393" s="25"/>
      <c r="FFY393" s="26"/>
      <c r="FGD393" s="24"/>
      <c r="FGG393" s="24"/>
      <c r="FGI393" s="25"/>
      <c r="FGJ393" s="26"/>
      <c r="FGO393" s="24"/>
      <c r="FGR393" s="24"/>
      <c r="FGT393" s="25"/>
      <c r="FGU393" s="26"/>
      <c r="FGZ393" s="24"/>
      <c r="FHC393" s="24"/>
      <c r="FHE393" s="25"/>
      <c r="FHF393" s="26"/>
      <c r="FHK393" s="24"/>
      <c r="FHN393" s="24"/>
      <c r="FHP393" s="25"/>
      <c r="FHQ393" s="26"/>
      <c r="FHV393" s="24"/>
      <c r="FHY393" s="24"/>
      <c r="FIA393" s="25"/>
      <c r="FIB393" s="26"/>
      <c r="FIG393" s="24"/>
      <c r="FIJ393" s="24"/>
      <c r="FIL393" s="25"/>
      <c r="FIM393" s="26"/>
      <c r="FIR393" s="24"/>
      <c r="FIU393" s="24"/>
      <c r="FIW393" s="25"/>
      <c r="FIX393" s="26"/>
      <c r="FJC393" s="24"/>
      <c r="FJF393" s="24"/>
      <c r="FJH393" s="25"/>
      <c r="FJI393" s="26"/>
      <c r="FJN393" s="24"/>
      <c r="FJQ393" s="24"/>
      <c r="FJS393" s="25"/>
      <c r="FJT393" s="26"/>
      <c r="FJY393" s="24"/>
      <c r="FKB393" s="24"/>
      <c r="FKD393" s="25"/>
      <c r="FKE393" s="26"/>
      <c r="FKJ393" s="24"/>
      <c r="FKM393" s="24"/>
      <c r="FKO393" s="25"/>
      <c r="FKP393" s="26"/>
      <c r="FKU393" s="24"/>
      <c r="FKX393" s="24"/>
      <c r="FKZ393" s="25"/>
      <c r="FLA393" s="26"/>
      <c r="FLF393" s="24"/>
      <c r="FLI393" s="24"/>
      <c r="FLK393" s="25"/>
      <c r="FLL393" s="26"/>
      <c r="FLQ393" s="24"/>
      <c r="FLT393" s="24"/>
      <c r="FLV393" s="25"/>
      <c r="FLW393" s="26"/>
      <c r="FMB393" s="24"/>
      <c r="FME393" s="24"/>
      <c r="FMG393" s="25"/>
      <c r="FMH393" s="26"/>
      <c r="FMM393" s="24"/>
      <c r="FMP393" s="24"/>
      <c r="FMR393" s="25"/>
      <c r="FMS393" s="26"/>
      <c r="FMX393" s="24"/>
      <c r="FNA393" s="24"/>
      <c r="FNC393" s="25"/>
      <c r="FND393" s="26"/>
      <c r="FNI393" s="24"/>
      <c r="FNL393" s="24"/>
      <c r="FNN393" s="25"/>
      <c r="FNO393" s="26"/>
      <c r="FNT393" s="24"/>
      <c r="FNW393" s="24"/>
      <c r="FNY393" s="25"/>
      <c r="FNZ393" s="26"/>
      <c r="FOE393" s="24"/>
      <c r="FOH393" s="24"/>
      <c r="FOJ393" s="25"/>
      <c r="FOK393" s="26"/>
      <c r="FOP393" s="24"/>
      <c r="FOS393" s="24"/>
      <c r="FOU393" s="25"/>
      <c r="FOV393" s="26"/>
      <c r="FPA393" s="24"/>
      <c r="FPD393" s="24"/>
      <c r="FPF393" s="25"/>
      <c r="FPG393" s="26"/>
      <c r="FPL393" s="24"/>
      <c r="FPO393" s="24"/>
      <c r="FPQ393" s="25"/>
      <c r="FPR393" s="26"/>
      <c r="FPW393" s="24"/>
      <c r="FPZ393" s="24"/>
      <c r="FQB393" s="25"/>
      <c r="FQC393" s="26"/>
      <c r="FQH393" s="24"/>
      <c r="FQK393" s="24"/>
      <c r="FQM393" s="25"/>
      <c r="FQN393" s="26"/>
      <c r="FQS393" s="24"/>
      <c r="FQV393" s="24"/>
      <c r="FQX393" s="25"/>
      <c r="FQY393" s="26"/>
      <c r="FRD393" s="24"/>
      <c r="FRG393" s="24"/>
      <c r="FRI393" s="25"/>
      <c r="FRJ393" s="26"/>
      <c r="FRO393" s="24"/>
      <c r="FRR393" s="24"/>
      <c r="FRT393" s="25"/>
      <c r="FRU393" s="26"/>
      <c r="FRZ393" s="24"/>
      <c r="FSC393" s="24"/>
      <c r="FSE393" s="25"/>
      <c r="FSF393" s="26"/>
      <c r="FSK393" s="24"/>
      <c r="FSN393" s="24"/>
      <c r="FSP393" s="25"/>
      <c r="FSQ393" s="26"/>
      <c r="FSV393" s="24"/>
      <c r="FSY393" s="24"/>
      <c r="FTA393" s="25"/>
      <c r="FTB393" s="26"/>
      <c r="FTG393" s="24"/>
      <c r="FTJ393" s="24"/>
      <c r="FTL393" s="25"/>
      <c r="FTM393" s="26"/>
      <c r="FTR393" s="24"/>
      <c r="FTU393" s="24"/>
      <c r="FTW393" s="25"/>
      <c r="FTX393" s="26"/>
      <c r="FUC393" s="24"/>
      <c r="FUF393" s="24"/>
      <c r="FUH393" s="25"/>
      <c r="FUI393" s="26"/>
      <c r="FUN393" s="24"/>
      <c r="FUQ393" s="24"/>
      <c r="FUS393" s="25"/>
      <c r="FUT393" s="26"/>
      <c r="FUY393" s="24"/>
      <c r="FVB393" s="24"/>
      <c r="FVD393" s="25"/>
      <c r="FVE393" s="26"/>
      <c r="FVJ393" s="24"/>
      <c r="FVM393" s="24"/>
      <c r="FVO393" s="25"/>
      <c r="FVP393" s="26"/>
      <c r="FVU393" s="24"/>
      <c r="FVX393" s="24"/>
      <c r="FVZ393" s="25"/>
      <c r="FWA393" s="26"/>
      <c r="FWF393" s="24"/>
      <c r="FWI393" s="24"/>
      <c r="FWK393" s="25"/>
      <c r="FWL393" s="26"/>
      <c r="FWQ393" s="24"/>
      <c r="FWT393" s="24"/>
      <c r="FWV393" s="25"/>
      <c r="FWW393" s="26"/>
      <c r="FXB393" s="24"/>
      <c r="FXE393" s="24"/>
      <c r="FXG393" s="25"/>
      <c r="FXH393" s="26"/>
      <c r="FXM393" s="24"/>
      <c r="FXP393" s="24"/>
      <c r="FXR393" s="25"/>
      <c r="FXS393" s="26"/>
      <c r="FXX393" s="24"/>
      <c r="FYA393" s="24"/>
      <c r="FYC393" s="25"/>
      <c r="FYD393" s="26"/>
      <c r="FYI393" s="24"/>
      <c r="FYL393" s="24"/>
      <c r="FYN393" s="25"/>
      <c r="FYO393" s="26"/>
      <c r="FYT393" s="24"/>
      <c r="FYW393" s="24"/>
      <c r="FYY393" s="25"/>
      <c r="FYZ393" s="26"/>
      <c r="FZE393" s="24"/>
      <c r="FZH393" s="24"/>
      <c r="FZJ393" s="25"/>
      <c r="FZK393" s="26"/>
      <c r="FZP393" s="24"/>
      <c r="FZS393" s="24"/>
      <c r="FZU393" s="25"/>
      <c r="FZV393" s="26"/>
      <c r="GAA393" s="24"/>
      <c r="GAD393" s="24"/>
      <c r="GAF393" s="25"/>
      <c r="GAG393" s="26"/>
      <c r="GAL393" s="24"/>
      <c r="GAO393" s="24"/>
      <c r="GAQ393" s="25"/>
      <c r="GAR393" s="26"/>
      <c r="GAW393" s="24"/>
      <c r="GAZ393" s="24"/>
      <c r="GBB393" s="25"/>
      <c r="GBC393" s="26"/>
      <c r="GBH393" s="24"/>
      <c r="GBK393" s="24"/>
      <c r="GBM393" s="25"/>
      <c r="GBN393" s="26"/>
      <c r="GBS393" s="24"/>
      <c r="GBV393" s="24"/>
      <c r="GBX393" s="25"/>
      <c r="GBY393" s="26"/>
      <c r="GCD393" s="24"/>
      <c r="GCG393" s="24"/>
      <c r="GCI393" s="25"/>
      <c r="GCJ393" s="26"/>
      <c r="GCO393" s="24"/>
      <c r="GCR393" s="24"/>
      <c r="GCT393" s="25"/>
      <c r="GCU393" s="26"/>
      <c r="GCZ393" s="24"/>
      <c r="GDC393" s="24"/>
      <c r="GDE393" s="25"/>
      <c r="GDF393" s="26"/>
      <c r="GDK393" s="24"/>
      <c r="GDN393" s="24"/>
      <c r="GDP393" s="25"/>
      <c r="GDQ393" s="26"/>
      <c r="GDV393" s="24"/>
      <c r="GDY393" s="24"/>
      <c r="GEA393" s="25"/>
      <c r="GEB393" s="26"/>
      <c r="GEG393" s="24"/>
      <c r="GEJ393" s="24"/>
      <c r="GEL393" s="25"/>
      <c r="GEM393" s="26"/>
      <c r="GER393" s="24"/>
      <c r="GEU393" s="24"/>
      <c r="GEW393" s="25"/>
      <c r="GEX393" s="26"/>
      <c r="GFC393" s="24"/>
      <c r="GFF393" s="24"/>
      <c r="GFH393" s="25"/>
      <c r="GFI393" s="26"/>
      <c r="GFN393" s="24"/>
      <c r="GFQ393" s="24"/>
      <c r="GFS393" s="25"/>
      <c r="GFT393" s="26"/>
      <c r="GFY393" s="24"/>
      <c r="GGB393" s="24"/>
      <c r="GGD393" s="25"/>
      <c r="GGE393" s="26"/>
      <c r="GGJ393" s="24"/>
      <c r="GGM393" s="24"/>
      <c r="GGO393" s="25"/>
      <c r="GGP393" s="26"/>
      <c r="GGU393" s="24"/>
      <c r="GGX393" s="24"/>
      <c r="GGZ393" s="25"/>
      <c r="GHA393" s="26"/>
      <c r="GHF393" s="24"/>
      <c r="GHI393" s="24"/>
      <c r="GHK393" s="25"/>
      <c r="GHL393" s="26"/>
      <c r="GHQ393" s="24"/>
      <c r="GHT393" s="24"/>
      <c r="GHV393" s="25"/>
      <c r="GHW393" s="26"/>
      <c r="GIB393" s="24"/>
      <c r="GIE393" s="24"/>
      <c r="GIG393" s="25"/>
      <c r="GIH393" s="26"/>
      <c r="GIM393" s="24"/>
      <c r="GIP393" s="24"/>
      <c r="GIR393" s="25"/>
      <c r="GIS393" s="26"/>
      <c r="GIX393" s="24"/>
      <c r="GJA393" s="24"/>
      <c r="GJC393" s="25"/>
      <c r="GJD393" s="26"/>
      <c r="GJI393" s="24"/>
      <c r="GJL393" s="24"/>
      <c r="GJN393" s="25"/>
      <c r="GJO393" s="26"/>
      <c r="GJT393" s="24"/>
      <c r="GJW393" s="24"/>
      <c r="GJY393" s="25"/>
      <c r="GJZ393" s="26"/>
      <c r="GKE393" s="24"/>
      <c r="GKH393" s="24"/>
      <c r="GKJ393" s="25"/>
      <c r="GKK393" s="26"/>
      <c r="GKP393" s="24"/>
      <c r="GKS393" s="24"/>
      <c r="GKU393" s="25"/>
      <c r="GKV393" s="26"/>
      <c r="GLA393" s="24"/>
      <c r="GLD393" s="24"/>
      <c r="GLF393" s="25"/>
      <c r="GLG393" s="26"/>
      <c r="GLL393" s="24"/>
      <c r="GLO393" s="24"/>
      <c r="GLQ393" s="25"/>
      <c r="GLR393" s="26"/>
      <c r="GLW393" s="24"/>
      <c r="GLZ393" s="24"/>
      <c r="GMB393" s="25"/>
      <c r="GMC393" s="26"/>
      <c r="GMH393" s="24"/>
      <c r="GMK393" s="24"/>
      <c r="GMM393" s="25"/>
      <c r="GMN393" s="26"/>
      <c r="GMS393" s="24"/>
      <c r="GMV393" s="24"/>
      <c r="GMX393" s="25"/>
      <c r="GMY393" s="26"/>
      <c r="GND393" s="24"/>
      <c r="GNG393" s="24"/>
      <c r="GNI393" s="25"/>
      <c r="GNJ393" s="26"/>
      <c r="GNO393" s="24"/>
      <c r="GNR393" s="24"/>
      <c r="GNT393" s="25"/>
      <c r="GNU393" s="26"/>
      <c r="GNZ393" s="24"/>
      <c r="GOC393" s="24"/>
      <c r="GOE393" s="25"/>
      <c r="GOF393" s="26"/>
      <c r="GOK393" s="24"/>
      <c r="GON393" s="24"/>
      <c r="GOP393" s="25"/>
      <c r="GOQ393" s="26"/>
      <c r="GOV393" s="24"/>
      <c r="GOY393" s="24"/>
      <c r="GPA393" s="25"/>
      <c r="GPB393" s="26"/>
      <c r="GPG393" s="24"/>
      <c r="GPJ393" s="24"/>
      <c r="GPL393" s="25"/>
      <c r="GPM393" s="26"/>
      <c r="GPR393" s="24"/>
      <c r="GPU393" s="24"/>
      <c r="GPW393" s="25"/>
      <c r="GPX393" s="26"/>
      <c r="GQC393" s="24"/>
      <c r="GQF393" s="24"/>
      <c r="GQH393" s="25"/>
      <c r="GQI393" s="26"/>
      <c r="GQN393" s="24"/>
      <c r="GQQ393" s="24"/>
      <c r="GQS393" s="25"/>
      <c r="GQT393" s="26"/>
      <c r="GQY393" s="24"/>
      <c r="GRB393" s="24"/>
      <c r="GRD393" s="25"/>
      <c r="GRE393" s="26"/>
      <c r="GRJ393" s="24"/>
      <c r="GRM393" s="24"/>
      <c r="GRO393" s="25"/>
      <c r="GRP393" s="26"/>
      <c r="GRU393" s="24"/>
      <c r="GRX393" s="24"/>
      <c r="GRZ393" s="25"/>
      <c r="GSA393" s="26"/>
      <c r="GSF393" s="24"/>
      <c r="GSI393" s="24"/>
      <c r="GSK393" s="25"/>
      <c r="GSL393" s="26"/>
      <c r="GSQ393" s="24"/>
      <c r="GST393" s="24"/>
      <c r="GSV393" s="25"/>
      <c r="GSW393" s="26"/>
      <c r="GTB393" s="24"/>
      <c r="GTE393" s="24"/>
      <c r="GTG393" s="25"/>
      <c r="GTH393" s="26"/>
      <c r="GTM393" s="24"/>
      <c r="GTP393" s="24"/>
      <c r="GTR393" s="25"/>
      <c r="GTS393" s="26"/>
      <c r="GTX393" s="24"/>
      <c r="GUA393" s="24"/>
      <c r="GUC393" s="25"/>
      <c r="GUD393" s="26"/>
      <c r="GUI393" s="24"/>
      <c r="GUL393" s="24"/>
      <c r="GUN393" s="25"/>
      <c r="GUO393" s="26"/>
      <c r="GUT393" s="24"/>
      <c r="GUW393" s="24"/>
      <c r="GUY393" s="25"/>
      <c r="GUZ393" s="26"/>
      <c r="GVE393" s="24"/>
      <c r="GVH393" s="24"/>
      <c r="GVJ393" s="25"/>
      <c r="GVK393" s="26"/>
      <c r="GVP393" s="24"/>
      <c r="GVS393" s="24"/>
      <c r="GVU393" s="25"/>
      <c r="GVV393" s="26"/>
      <c r="GWA393" s="24"/>
      <c r="GWD393" s="24"/>
      <c r="GWF393" s="25"/>
      <c r="GWG393" s="26"/>
      <c r="GWL393" s="24"/>
      <c r="GWO393" s="24"/>
      <c r="GWQ393" s="25"/>
      <c r="GWR393" s="26"/>
      <c r="GWW393" s="24"/>
      <c r="GWZ393" s="24"/>
      <c r="GXB393" s="25"/>
      <c r="GXC393" s="26"/>
      <c r="GXH393" s="24"/>
      <c r="GXK393" s="24"/>
      <c r="GXM393" s="25"/>
      <c r="GXN393" s="26"/>
      <c r="GXS393" s="24"/>
      <c r="GXV393" s="24"/>
      <c r="GXX393" s="25"/>
      <c r="GXY393" s="26"/>
      <c r="GYD393" s="24"/>
      <c r="GYG393" s="24"/>
      <c r="GYI393" s="25"/>
      <c r="GYJ393" s="26"/>
      <c r="GYO393" s="24"/>
      <c r="GYR393" s="24"/>
      <c r="GYT393" s="25"/>
      <c r="GYU393" s="26"/>
      <c r="GYZ393" s="24"/>
      <c r="GZC393" s="24"/>
      <c r="GZE393" s="25"/>
      <c r="GZF393" s="26"/>
      <c r="GZK393" s="24"/>
      <c r="GZN393" s="24"/>
      <c r="GZP393" s="25"/>
      <c r="GZQ393" s="26"/>
      <c r="GZV393" s="24"/>
      <c r="GZY393" s="24"/>
      <c r="HAA393" s="25"/>
      <c r="HAB393" s="26"/>
      <c r="HAG393" s="24"/>
      <c r="HAJ393" s="24"/>
      <c r="HAL393" s="25"/>
      <c r="HAM393" s="26"/>
      <c r="HAR393" s="24"/>
      <c r="HAU393" s="24"/>
      <c r="HAW393" s="25"/>
      <c r="HAX393" s="26"/>
      <c r="HBC393" s="24"/>
      <c r="HBF393" s="24"/>
      <c r="HBH393" s="25"/>
      <c r="HBI393" s="26"/>
      <c r="HBN393" s="24"/>
      <c r="HBQ393" s="24"/>
      <c r="HBS393" s="25"/>
      <c r="HBT393" s="26"/>
      <c r="HBY393" s="24"/>
      <c r="HCB393" s="24"/>
      <c r="HCD393" s="25"/>
      <c r="HCE393" s="26"/>
      <c r="HCJ393" s="24"/>
      <c r="HCM393" s="24"/>
      <c r="HCO393" s="25"/>
      <c r="HCP393" s="26"/>
      <c r="HCU393" s="24"/>
      <c r="HCX393" s="24"/>
      <c r="HCZ393" s="25"/>
      <c r="HDA393" s="26"/>
      <c r="HDF393" s="24"/>
      <c r="HDI393" s="24"/>
      <c r="HDK393" s="25"/>
      <c r="HDL393" s="26"/>
      <c r="HDQ393" s="24"/>
      <c r="HDT393" s="24"/>
      <c r="HDV393" s="25"/>
      <c r="HDW393" s="26"/>
      <c r="HEB393" s="24"/>
      <c r="HEE393" s="24"/>
      <c r="HEG393" s="25"/>
      <c r="HEH393" s="26"/>
      <c r="HEM393" s="24"/>
      <c r="HEP393" s="24"/>
      <c r="HER393" s="25"/>
      <c r="HES393" s="26"/>
      <c r="HEX393" s="24"/>
      <c r="HFA393" s="24"/>
      <c r="HFC393" s="25"/>
      <c r="HFD393" s="26"/>
      <c r="HFI393" s="24"/>
      <c r="HFL393" s="24"/>
      <c r="HFN393" s="25"/>
      <c r="HFO393" s="26"/>
      <c r="HFT393" s="24"/>
      <c r="HFW393" s="24"/>
      <c r="HFY393" s="25"/>
      <c r="HFZ393" s="26"/>
      <c r="HGE393" s="24"/>
      <c r="HGH393" s="24"/>
      <c r="HGJ393" s="25"/>
      <c r="HGK393" s="26"/>
      <c r="HGP393" s="24"/>
      <c r="HGS393" s="24"/>
      <c r="HGU393" s="25"/>
      <c r="HGV393" s="26"/>
      <c r="HHA393" s="24"/>
      <c r="HHD393" s="24"/>
      <c r="HHF393" s="25"/>
      <c r="HHG393" s="26"/>
      <c r="HHL393" s="24"/>
      <c r="HHO393" s="24"/>
      <c r="HHQ393" s="25"/>
      <c r="HHR393" s="26"/>
      <c r="HHW393" s="24"/>
      <c r="HHZ393" s="24"/>
      <c r="HIB393" s="25"/>
      <c r="HIC393" s="26"/>
      <c r="HIH393" s="24"/>
      <c r="HIK393" s="24"/>
      <c r="HIM393" s="25"/>
      <c r="HIN393" s="26"/>
      <c r="HIS393" s="24"/>
      <c r="HIV393" s="24"/>
      <c r="HIX393" s="25"/>
      <c r="HIY393" s="26"/>
      <c r="HJD393" s="24"/>
      <c r="HJG393" s="24"/>
      <c r="HJI393" s="25"/>
      <c r="HJJ393" s="26"/>
      <c r="HJO393" s="24"/>
      <c r="HJR393" s="24"/>
      <c r="HJT393" s="25"/>
      <c r="HJU393" s="26"/>
      <c r="HJZ393" s="24"/>
      <c r="HKC393" s="24"/>
      <c r="HKE393" s="25"/>
      <c r="HKF393" s="26"/>
      <c r="HKK393" s="24"/>
      <c r="HKN393" s="24"/>
      <c r="HKP393" s="25"/>
      <c r="HKQ393" s="26"/>
      <c r="HKV393" s="24"/>
      <c r="HKY393" s="24"/>
      <c r="HLA393" s="25"/>
      <c r="HLB393" s="26"/>
      <c r="HLG393" s="24"/>
      <c r="HLJ393" s="24"/>
      <c r="HLL393" s="25"/>
      <c r="HLM393" s="26"/>
      <c r="HLR393" s="24"/>
      <c r="HLU393" s="24"/>
      <c r="HLW393" s="25"/>
      <c r="HLX393" s="26"/>
      <c r="HMC393" s="24"/>
      <c r="HMF393" s="24"/>
      <c r="HMH393" s="25"/>
      <c r="HMI393" s="26"/>
      <c r="HMN393" s="24"/>
      <c r="HMQ393" s="24"/>
      <c r="HMS393" s="25"/>
      <c r="HMT393" s="26"/>
      <c r="HMY393" s="24"/>
      <c r="HNB393" s="24"/>
      <c r="HND393" s="25"/>
      <c r="HNE393" s="26"/>
      <c r="HNJ393" s="24"/>
      <c r="HNM393" s="24"/>
      <c r="HNO393" s="25"/>
      <c r="HNP393" s="26"/>
      <c r="HNU393" s="24"/>
      <c r="HNX393" s="24"/>
      <c r="HNZ393" s="25"/>
      <c r="HOA393" s="26"/>
      <c r="HOF393" s="24"/>
      <c r="HOI393" s="24"/>
      <c r="HOK393" s="25"/>
      <c r="HOL393" s="26"/>
      <c r="HOQ393" s="24"/>
      <c r="HOT393" s="24"/>
      <c r="HOV393" s="25"/>
      <c r="HOW393" s="26"/>
      <c r="HPB393" s="24"/>
      <c r="HPE393" s="24"/>
      <c r="HPG393" s="25"/>
      <c r="HPH393" s="26"/>
      <c r="HPM393" s="24"/>
      <c r="HPP393" s="24"/>
      <c r="HPR393" s="25"/>
      <c r="HPS393" s="26"/>
      <c r="HPX393" s="24"/>
      <c r="HQA393" s="24"/>
      <c r="HQC393" s="25"/>
      <c r="HQD393" s="26"/>
      <c r="HQI393" s="24"/>
      <c r="HQL393" s="24"/>
      <c r="HQN393" s="25"/>
      <c r="HQO393" s="26"/>
      <c r="HQT393" s="24"/>
      <c r="HQW393" s="24"/>
      <c r="HQY393" s="25"/>
      <c r="HQZ393" s="26"/>
      <c r="HRE393" s="24"/>
      <c r="HRH393" s="24"/>
      <c r="HRJ393" s="25"/>
      <c r="HRK393" s="26"/>
      <c r="HRP393" s="24"/>
      <c r="HRS393" s="24"/>
      <c r="HRU393" s="25"/>
      <c r="HRV393" s="26"/>
      <c r="HSA393" s="24"/>
      <c r="HSD393" s="24"/>
      <c r="HSF393" s="25"/>
      <c r="HSG393" s="26"/>
      <c r="HSL393" s="24"/>
      <c r="HSO393" s="24"/>
      <c r="HSQ393" s="25"/>
      <c r="HSR393" s="26"/>
      <c r="HSW393" s="24"/>
      <c r="HSZ393" s="24"/>
      <c r="HTB393" s="25"/>
      <c r="HTC393" s="26"/>
      <c r="HTH393" s="24"/>
      <c r="HTK393" s="24"/>
      <c r="HTM393" s="25"/>
      <c r="HTN393" s="26"/>
      <c r="HTS393" s="24"/>
      <c r="HTV393" s="24"/>
      <c r="HTX393" s="25"/>
      <c r="HTY393" s="26"/>
      <c r="HUD393" s="24"/>
      <c r="HUG393" s="24"/>
      <c r="HUI393" s="25"/>
      <c r="HUJ393" s="26"/>
      <c r="HUO393" s="24"/>
      <c r="HUR393" s="24"/>
      <c r="HUT393" s="25"/>
      <c r="HUU393" s="26"/>
      <c r="HUZ393" s="24"/>
      <c r="HVC393" s="24"/>
      <c r="HVE393" s="25"/>
      <c r="HVF393" s="26"/>
      <c r="HVK393" s="24"/>
      <c r="HVN393" s="24"/>
      <c r="HVP393" s="25"/>
      <c r="HVQ393" s="26"/>
      <c r="HVV393" s="24"/>
      <c r="HVY393" s="24"/>
      <c r="HWA393" s="25"/>
      <c r="HWB393" s="26"/>
      <c r="HWG393" s="24"/>
      <c r="HWJ393" s="24"/>
      <c r="HWL393" s="25"/>
      <c r="HWM393" s="26"/>
      <c r="HWR393" s="24"/>
      <c r="HWU393" s="24"/>
      <c r="HWW393" s="25"/>
      <c r="HWX393" s="26"/>
      <c r="HXC393" s="24"/>
      <c r="HXF393" s="24"/>
      <c r="HXH393" s="25"/>
      <c r="HXI393" s="26"/>
      <c r="HXN393" s="24"/>
      <c r="HXQ393" s="24"/>
      <c r="HXS393" s="25"/>
      <c r="HXT393" s="26"/>
      <c r="HXY393" s="24"/>
      <c r="HYB393" s="24"/>
      <c r="HYD393" s="25"/>
      <c r="HYE393" s="26"/>
      <c r="HYJ393" s="24"/>
      <c r="HYM393" s="24"/>
      <c r="HYO393" s="25"/>
      <c r="HYP393" s="26"/>
      <c r="HYU393" s="24"/>
      <c r="HYX393" s="24"/>
      <c r="HYZ393" s="25"/>
      <c r="HZA393" s="26"/>
      <c r="HZF393" s="24"/>
      <c r="HZI393" s="24"/>
      <c r="HZK393" s="25"/>
      <c r="HZL393" s="26"/>
      <c r="HZQ393" s="24"/>
      <c r="HZT393" s="24"/>
      <c r="HZV393" s="25"/>
      <c r="HZW393" s="26"/>
      <c r="IAB393" s="24"/>
      <c r="IAE393" s="24"/>
      <c r="IAG393" s="25"/>
      <c r="IAH393" s="26"/>
      <c r="IAM393" s="24"/>
      <c r="IAP393" s="24"/>
      <c r="IAR393" s="25"/>
      <c r="IAS393" s="26"/>
      <c r="IAX393" s="24"/>
      <c r="IBA393" s="24"/>
      <c r="IBC393" s="25"/>
      <c r="IBD393" s="26"/>
      <c r="IBI393" s="24"/>
      <c r="IBL393" s="24"/>
      <c r="IBN393" s="25"/>
      <c r="IBO393" s="26"/>
      <c r="IBT393" s="24"/>
      <c r="IBW393" s="24"/>
      <c r="IBY393" s="25"/>
      <c r="IBZ393" s="26"/>
      <c r="ICE393" s="24"/>
      <c r="ICH393" s="24"/>
      <c r="ICJ393" s="25"/>
      <c r="ICK393" s="26"/>
      <c r="ICP393" s="24"/>
      <c r="ICS393" s="24"/>
      <c r="ICU393" s="25"/>
      <c r="ICV393" s="26"/>
      <c r="IDA393" s="24"/>
      <c r="IDD393" s="24"/>
      <c r="IDF393" s="25"/>
      <c r="IDG393" s="26"/>
      <c r="IDL393" s="24"/>
      <c r="IDO393" s="24"/>
      <c r="IDQ393" s="25"/>
      <c r="IDR393" s="26"/>
      <c r="IDW393" s="24"/>
      <c r="IDZ393" s="24"/>
      <c r="IEB393" s="25"/>
      <c r="IEC393" s="26"/>
      <c r="IEH393" s="24"/>
      <c r="IEK393" s="24"/>
      <c r="IEM393" s="25"/>
      <c r="IEN393" s="26"/>
      <c r="IES393" s="24"/>
      <c r="IEV393" s="24"/>
      <c r="IEX393" s="25"/>
      <c r="IEY393" s="26"/>
      <c r="IFD393" s="24"/>
      <c r="IFG393" s="24"/>
      <c r="IFI393" s="25"/>
      <c r="IFJ393" s="26"/>
      <c r="IFO393" s="24"/>
      <c r="IFR393" s="24"/>
      <c r="IFT393" s="25"/>
      <c r="IFU393" s="26"/>
      <c r="IFZ393" s="24"/>
      <c r="IGC393" s="24"/>
      <c r="IGE393" s="25"/>
      <c r="IGF393" s="26"/>
      <c r="IGK393" s="24"/>
      <c r="IGN393" s="24"/>
      <c r="IGP393" s="25"/>
      <c r="IGQ393" s="26"/>
      <c r="IGV393" s="24"/>
      <c r="IGY393" s="24"/>
      <c r="IHA393" s="25"/>
      <c r="IHB393" s="26"/>
      <c r="IHG393" s="24"/>
      <c r="IHJ393" s="24"/>
      <c r="IHL393" s="25"/>
      <c r="IHM393" s="26"/>
      <c r="IHR393" s="24"/>
      <c r="IHU393" s="24"/>
      <c r="IHW393" s="25"/>
      <c r="IHX393" s="26"/>
      <c r="IIC393" s="24"/>
      <c r="IIF393" s="24"/>
      <c r="IIH393" s="25"/>
      <c r="III393" s="26"/>
      <c r="IIN393" s="24"/>
      <c r="IIQ393" s="24"/>
      <c r="IIS393" s="25"/>
      <c r="IIT393" s="26"/>
      <c r="IIY393" s="24"/>
      <c r="IJB393" s="24"/>
      <c r="IJD393" s="25"/>
      <c r="IJE393" s="26"/>
      <c r="IJJ393" s="24"/>
      <c r="IJM393" s="24"/>
      <c r="IJO393" s="25"/>
      <c r="IJP393" s="26"/>
      <c r="IJU393" s="24"/>
      <c r="IJX393" s="24"/>
      <c r="IJZ393" s="25"/>
      <c r="IKA393" s="26"/>
      <c r="IKF393" s="24"/>
      <c r="IKI393" s="24"/>
      <c r="IKK393" s="25"/>
      <c r="IKL393" s="26"/>
      <c r="IKQ393" s="24"/>
      <c r="IKT393" s="24"/>
      <c r="IKV393" s="25"/>
      <c r="IKW393" s="26"/>
      <c r="ILB393" s="24"/>
      <c r="ILE393" s="24"/>
      <c r="ILG393" s="25"/>
      <c r="ILH393" s="26"/>
      <c r="ILM393" s="24"/>
      <c r="ILP393" s="24"/>
      <c r="ILR393" s="25"/>
      <c r="ILS393" s="26"/>
      <c r="ILX393" s="24"/>
      <c r="IMA393" s="24"/>
      <c r="IMC393" s="25"/>
      <c r="IMD393" s="26"/>
      <c r="IMI393" s="24"/>
      <c r="IML393" s="24"/>
      <c r="IMN393" s="25"/>
      <c r="IMO393" s="26"/>
      <c r="IMT393" s="24"/>
      <c r="IMW393" s="24"/>
      <c r="IMY393" s="25"/>
      <c r="IMZ393" s="26"/>
      <c r="INE393" s="24"/>
      <c r="INH393" s="24"/>
      <c r="INJ393" s="25"/>
      <c r="INK393" s="26"/>
      <c r="INP393" s="24"/>
      <c r="INS393" s="24"/>
      <c r="INU393" s="25"/>
      <c r="INV393" s="26"/>
      <c r="IOA393" s="24"/>
      <c r="IOD393" s="24"/>
      <c r="IOF393" s="25"/>
      <c r="IOG393" s="26"/>
      <c r="IOL393" s="24"/>
      <c r="IOO393" s="24"/>
      <c r="IOQ393" s="25"/>
      <c r="IOR393" s="26"/>
      <c r="IOW393" s="24"/>
      <c r="IOZ393" s="24"/>
      <c r="IPB393" s="25"/>
      <c r="IPC393" s="26"/>
      <c r="IPH393" s="24"/>
      <c r="IPK393" s="24"/>
      <c r="IPM393" s="25"/>
      <c r="IPN393" s="26"/>
      <c r="IPS393" s="24"/>
      <c r="IPV393" s="24"/>
      <c r="IPX393" s="25"/>
      <c r="IPY393" s="26"/>
      <c r="IQD393" s="24"/>
      <c r="IQG393" s="24"/>
      <c r="IQI393" s="25"/>
      <c r="IQJ393" s="26"/>
      <c r="IQO393" s="24"/>
      <c r="IQR393" s="24"/>
      <c r="IQT393" s="25"/>
      <c r="IQU393" s="26"/>
      <c r="IQZ393" s="24"/>
      <c r="IRC393" s="24"/>
      <c r="IRE393" s="25"/>
      <c r="IRF393" s="26"/>
      <c r="IRK393" s="24"/>
      <c r="IRN393" s="24"/>
      <c r="IRP393" s="25"/>
      <c r="IRQ393" s="26"/>
      <c r="IRV393" s="24"/>
      <c r="IRY393" s="24"/>
      <c r="ISA393" s="25"/>
      <c r="ISB393" s="26"/>
      <c r="ISG393" s="24"/>
      <c r="ISJ393" s="24"/>
      <c r="ISL393" s="25"/>
      <c r="ISM393" s="26"/>
      <c r="ISR393" s="24"/>
      <c r="ISU393" s="24"/>
      <c r="ISW393" s="25"/>
      <c r="ISX393" s="26"/>
      <c r="ITC393" s="24"/>
      <c r="ITF393" s="24"/>
      <c r="ITH393" s="25"/>
      <c r="ITI393" s="26"/>
      <c r="ITN393" s="24"/>
      <c r="ITQ393" s="24"/>
      <c r="ITS393" s="25"/>
      <c r="ITT393" s="26"/>
      <c r="ITY393" s="24"/>
      <c r="IUB393" s="24"/>
      <c r="IUD393" s="25"/>
      <c r="IUE393" s="26"/>
      <c r="IUJ393" s="24"/>
      <c r="IUM393" s="24"/>
      <c r="IUO393" s="25"/>
      <c r="IUP393" s="26"/>
      <c r="IUU393" s="24"/>
      <c r="IUX393" s="24"/>
      <c r="IUZ393" s="25"/>
      <c r="IVA393" s="26"/>
      <c r="IVF393" s="24"/>
      <c r="IVI393" s="24"/>
      <c r="IVK393" s="25"/>
      <c r="IVL393" s="26"/>
      <c r="IVQ393" s="24"/>
      <c r="IVT393" s="24"/>
      <c r="IVV393" s="25"/>
      <c r="IVW393" s="26"/>
      <c r="IWB393" s="24"/>
      <c r="IWE393" s="24"/>
      <c r="IWG393" s="25"/>
      <c r="IWH393" s="26"/>
      <c r="IWM393" s="24"/>
      <c r="IWP393" s="24"/>
      <c r="IWR393" s="25"/>
      <c r="IWS393" s="26"/>
      <c r="IWX393" s="24"/>
      <c r="IXA393" s="24"/>
      <c r="IXC393" s="25"/>
      <c r="IXD393" s="26"/>
      <c r="IXI393" s="24"/>
      <c r="IXL393" s="24"/>
      <c r="IXN393" s="25"/>
      <c r="IXO393" s="26"/>
      <c r="IXT393" s="24"/>
      <c r="IXW393" s="24"/>
      <c r="IXY393" s="25"/>
      <c r="IXZ393" s="26"/>
      <c r="IYE393" s="24"/>
      <c r="IYH393" s="24"/>
      <c r="IYJ393" s="25"/>
      <c r="IYK393" s="26"/>
      <c r="IYP393" s="24"/>
      <c r="IYS393" s="24"/>
      <c r="IYU393" s="25"/>
      <c r="IYV393" s="26"/>
      <c r="IZA393" s="24"/>
      <c r="IZD393" s="24"/>
      <c r="IZF393" s="25"/>
      <c r="IZG393" s="26"/>
      <c r="IZL393" s="24"/>
      <c r="IZO393" s="24"/>
      <c r="IZQ393" s="25"/>
      <c r="IZR393" s="26"/>
      <c r="IZW393" s="24"/>
      <c r="IZZ393" s="24"/>
      <c r="JAB393" s="25"/>
      <c r="JAC393" s="26"/>
      <c r="JAH393" s="24"/>
      <c r="JAK393" s="24"/>
      <c r="JAM393" s="25"/>
      <c r="JAN393" s="26"/>
      <c r="JAS393" s="24"/>
      <c r="JAV393" s="24"/>
      <c r="JAX393" s="25"/>
      <c r="JAY393" s="26"/>
      <c r="JBD393" s="24"/>
      <c r="JBG393" s="24"/>
      <c r="JBI393" s="25"/>
      <c r="JBJ393" s="26"/>
      <c r="JBO393" s="24"/>
      <c r="JBR393" s="24"/>
      <c r="JBT393" s="25"/>
      <c r="JBU393" s="26"/>
      <c r="JBZ393" s="24"/>
      <c r="JCC393" s="24"/>
      <c r="JCE393" s="25"/>
      <c r="JCF393" s="26"/>
      <c r="JCK393" s="24"/>
      <c r="JCN393" s="24"/>
      <c r="JCP393" s="25"/>
      <c r="JCQ393" s="26"/>
      <c r="JCV393" s="24"/>
      <c r="JCY393" s="24"/>
      <c r="JDA393" s="25"/>
      <c r="JDB393" s="26"/>
      <c r="JDG393" s="24"/>
      <c r="JDJ393" s="24"/>
      <c r="JDL393" s="25"/>
      <c r="JDM393" s="26"/>
      <c r="JDR393" s="24"/>
      <c r="JDU393" s="24"/>
      <c r="JDW393" s="25"/>
      <c r="JDX393" s="26"/>
      <c r="JEC393" s="24"/>
      <c r="JEF393" s="24"/>
      <c r="JEH393" s="25"/>
      <c r="JEI393" s="26"/>
      <c r="JEN393" s="24"/>
      <c r="JEQ393" s="24"/>
      <c r="JES393" s="25"/>
      <c r="JET393" s="26"/>
      <c r="JEY393" s="24"/>
      <c r="JFB393" s="24"/>
      <c r="JFD393" s="25"/>
      <c r="JFE393" s="26"/>
      <c r="JFJ393" s="24"/>
      <c r="JFM393" s="24"/>
      <c r="JFO393" s="25"/>
      <c r="JFP393" s="26"/>
      <c r="JFU393" s="24"/>
      <c r="JFX393" s="24"/>
      <c r="JFZ393" s="25"/>
      <c r="JGA393" s="26"/>
      <c r="JGF393" s="24"/>
      <c r="JGI393" s="24"/>
      <c r="JGK393" s="25"/>
      <c r="JGL393" s="26"/>
      <c r="JGQ393" s="24"/>
      <c r="JGT393" s="24"/>
      <c r="JGV393" s="25"/>
      <c r="JGW393" s="26"/>
      <c r="JHB393" s="24"/>
      <c r="JHE393" s="24"/>
      <c r="JHG393" s="25"/>
      <c r="JHH393" s="26"/>
      <c r="JHM393" s="24"/>
      <c r="JHP393" s="24"/>
      <c r="JHR393" s="25"/>
      <c r="JHS393" s="26"/>
      <c r="JHX393" s="24"/>
      <c r="JIA393" s="24"/>
      <c r="JIC393" s="25"/>
      <c r="JID393" s="26"/>
      <c r="JII393" s="24"/>
      <c r="JIL393" s="24"/>
      <c r="JIN393" s="25"/>
      <c r="JIO393" s="26"/>
      <c r="JIT393" s="24"/>
      <c r="JIW393" s="24"/>
      <c r="JIY393" s="25"/>
      <c r="JIZ393" s="26"/>
      <c r="JJE393" s="24"/>
      <c r="JJH393" s="24"/>
      <c r="JJJ393" s="25"/>
      <c r="JJK393" s="26"/>
      <c r="JJP393" s="24"/>
      <c r="JJS393" s="24"/>
      <c r="JJU393" s="25"/>
      <c r="JJV393" s="26"/>
      <c r="JKA393" s="24"/>
      <c r="JKD393" s="24"/>
      <c r="JKF393" s="25"/>
      <c r="JKG393" s="26"/>
      <c r="JKL393" s="24"/>
      <c r="JKO393" s="24"/>
      <c r="JKQ393" s="25"/>
      <c r="JKR393" s="26"/>
      <c r="JKW393" s="24"/>
      <c r="JKZ393" s="24"/>
      <c r="JLB393" s="25"/>
      <c r="JLC393" s="26"/>
      <c r="JLH393" s="24"/>
      <c r="JLK393" s="24"/>
      <c r="JLM393" s="25"/>
      <c r="JLN393" s="26"/>
      <c r="JLS393" s="24"/>
      <c r="JLV393" s="24"/>
      <c r="JLX393" s="25"/>
      <c r="JLY393" s="26"/>
      <c r="JMD393" s="24"/>
      <c r="JMG393" s="24"/>
      <c r="JMI393" s="25"/>
      <c r="JMJ393" s="26"/>
      <c r="JMO393" s="24"/>
      <c r="JMR393" s="24"/>
      <c r="JMT393" s="25"/>
      <c r="JMU393" s="26"/>
      <c r="JMZ393" s="24"/>
      <c r="JNC393" s="24"/>
      <c r="JNE393" s="25"/>
      <c r="JNF393" s="26"/>
      <c r="JNK393" s="24"/>
      <c r="JNN393" s="24"/>
      <c r="JNP393" s="25"/>
      <c r="JNQ393" s="26"/>
      <c r="JNV393" s="24"/>
      <c r="JNY393" s="24"/>
      <c r="JOA393" s="25"/>
      <c r="JOB393" s="26"/>
      <c r="JOG393" s="24"/>
      <c r="JOJ393" s="24"/>
      <c r="JOL393" s="25"/>
      <c r="JOM393" s="26"/>
      <c r="JOR393" s="24"/>
      <c r="JOU393" s="24"/>
      <c r="JOW393" s="25"/>
      <c r="JOX393" s="26"/>
      <c r="JPC393" s="24"/>
      <c r="JPF393" s="24"/>
      <c r="JPH393" s="25"/>
      <c r="JPI393" s="26"/>
      <c r="JPN393" s="24"/>
      <c r="JPQ393" s="24"/>
      <c r="JPS393" s="25"/>
      <c r="JPT393" s="26"/>
      <c r="JPY393" s="24"/>
      <c r="JQB393" s="24"/>
      <c r="JQD393" s="25"/>
      <c r="JQE393" s="26"/>
      <c r="JQJ393" s="24"/>
      <c r="JQM393" s="24"/>
      <c r="JQO393" s="25"/>
      <c r="JQP393" s="26"/>
      <c r="JQU393" s="24"/>
      <c r="JQX393" s="24"/>
      <c r="JQZ393" s="25"/>
      <c r="JRA393" s="26"/>
      <c r="JRF393" s="24"/>
      <c r="JRI393" s="24"/>
      <c r="JRK393" s="25"/>
      <c r="JRL393" s="26"/>
      <c r="JRQ393" s="24"/>
      <c r="JRT393" s="24"/>
      <c r="JRV393" s="25"/>
      <c r="JRW393" s="26"/>
      <c r="JSB393" s="24"/>
      <c r="JSE393" s="24"/>
      <c r="JSG393" s="25"/>
      <c r="JSH393" s="26"/>
      <c r="JSM393" s="24"/>
      <c r="JSP393" s="24"/>
      <c r="JSR393" s="25"/>
      <c r="JSS393" s="26"/>
      <c r="JSX393" s="24"/>
      <c r="JTA393" s="24"/>
      <c r="JTC393" s="25"/>
      <c r="JTD393" s="26"/>
      <c r="JTI393" s="24"/>
      <c r="JTL393" s="24"/>
      <c r="JTN393" s="25"/>
      <c r="JTO393" s="26"/>
      <c r="JTT393" s="24"/>
      <c r="JTW393" s="24"/>
      <c r="JTY393" s="25"/>
      <c r="JTZ393" s="26"/>
      <c r="JUE393" s="24"/>
      <c r="JUH393" s="24"/>
      <c r="JUJ393" s="25"/>
      <c r="JUK393" s="26"/>
      <c r="JUP393" s="24"/>
      <c r="JUS393" s="24"/>
      <c r="JUU393" s="25"/>
      <c r="JUV393" s="26"/>
      <c r="JVA393" s="24"/>
      <c r="JVD393" s="24"/>
      <c r="JVF393" s="25"/>
      <c r="JVG393" s="26"/>
      <c r="JVL393" s="24"/>
      <c r="JVO393" s="24"/>
      <c r="JVQ393" s="25"/>
      <c r="JVR393" s="26"/>
      <c r="JVW393" s="24"/>
      <c r="JVZ393" s="24"/>
      <c r="JWB393" s="25"/>
      <c r="JWC393" s="26"/>
      <c r="JWH393" s="24"/>
      <c r="JWK393" s="24"/>
      <c r="JWM393" s="25"/>
      <c r="JWN393" s="26"/>
      <c r="JWS393" s="24"/>
      <c r="JWV393" s="24"/>
      <c r="JWX393" s="25"/>
      <c r="JWY393" s="26"/>
      <c r="JXD393" s="24"/>
      <c r="JXG393" s="24"/>
      <c r="JXI393" s="25"/>
      <c r="JXJ393" s="26"/>
      <c r="JXO393" s="24"/>
      <c r="JXR393" s="24"/>
      <c r="JXT393" s="25"/>
      <c r="JXU393" s="26"/>
      <c r="JXZ393" s="24"/>
      <c r="JYC393" s="24"/>
      <c r="JYE393" s="25"/>
      <c r="JYF393" s="26"/>
      <c r="JYK393" s="24"/>
      <c r="JYN393" s="24"/>
      <c r="JYP393" s="25"/>
      <c r="JYQ393" s="26"/>
      <c r="JYV393" s="24"/>
      <c r="JYY393" s="24"/>
      <c r="JZA393" s="25"/>
      <c r="JZB393" s="26"/>
      <c r="JZG393" s="24"/>
      <c r="JZJ393" s="24"/>
      <c r="JZL393" s="25"/>
      <c r="JZM393" s="26"/>
      <c r="JZR393" s="24"/>
      <c r="JZU393" s="24"/>
      <c r="JZW393" s="25"/>
      <c r="JZX393" s="26"/>
      <c r="KAC393" s="24"/>
      <c r="KAF393" s="24"/>
      <c r="KAH393" s="25"/>
      <c r="KAI393" s="26"/>
      <c r="KAN393" s="24"/>
      <c r="KAQ393" s="24"/>
      <c r="KAS393" s="25"/>
      <c r="KAT393" s="26"/>
      <c r="KAY393" s="24"/>
      <c r="KBB393" s="24"/>
      <c r="KBD393" s="25"/>
      <c r="KBE393" s="26"/>
      <c r="KBJ393" s="24"/>
      <c r="KBM393" s="24"/>
      <c r="KBO393" s="25"/>
      <c r="KBP393" s="26"/>
      <c r="KBU393" s="24"/>
      <c r="KBX393" s="24"/>
      <c r="KBZ393" s="25"/>
      <c r="KCA393" s="26"/>
      <c r="KCF393" s="24"/>
      <c r="KCI393" s="24"/>
      <c r="KCK393" s="25"/>
      <c r="KCL393" s="26"/>
      <c r="KCQ393" s="24"/>
      <c r="KCT393" s="24"/>
      <c r="KCV393" s="25"/>
      <c r="KCW393" s="26"/>
      <c r="KDB393" s="24"/>
      <c r="KDE393" s="24"/>
      <c r="KDG393" s="25"/>
      <c r="KDH393" s="26"/>
      <c r="KDM393" s="24"/>
      <c r="KDP393" s="24"/>
      <c r="KDR393" s="25"/>
      <c r="KDS393" s="26"/>
      <c r="KDX393" s="24"/>
      <c r="KEA393" s="24"/>
      <c r="KEC393" s="25"/>
      <c r="KED393" s="26"/>
      <c r="KEI393" s="24"/>
      <c r="KEL393" s="24"/>
      <c r="KEN393" s="25"/>
      <c r="KEO393" s="26"/>
      <c r="KET393" s="24"/>
      <c r="KEW393" s="24"/>
      <c r="KEY393" s="25"/>
      <c r="KEZ393" s="26"/>
      <c r="KFE393" s="24"/>
      <c r="KFH393" s="24"/>
      <c r="KFJ393" s="25"/>
      <c r="KFK393" s="26"/>
      <c r="KFP393" s="24"/>
      <c r="KFS393" s="24"/>
      <c r="KFU393" s="25"/>
      <c r="KFV393" s="26"/>
      <c r="KGA393" s="24"/>
      <c r="KGD393" s="24"/>
      <c r="KGF393" s="25"/>
      <c r="KGG393" s="26"/>
      <c r="KGL393" s="24"/>
      <c r="KGO393" s="24"/>
      <c r="KGQ393" s="25"/>
      <c r="KGR393" s="26"/>
      <c r="KGW393" s="24"/>
      <c r="KGZ393" s="24"/>
      <c r="KHB393" s="25"/>
      <c r="KHC393" s="26"/>
      <c r="KHH393" s="24"/>
      <c r="KHK393" s="24"/>
      <c r="KHM393" s="25"/>
      <c r="KHN393" s="26"/>
      <c r="KHS393" s="24"/>
      <c r="KHV393" s="24"/>
      <c r="KHX393" s="25"/>
      <c r="KHY393" s="26"/>
      <c r="KID393" s="24"/>
      <c r="KIG393" s="24"/>
      <c r="KII393" s="25"/>
      <c r="KIJ393" s="26"/>
      <c r="KIO393" s="24"/>
      <c r="KIR393" s="24"/>
      <c r="KIT393" s="25"/>
      <c r="KIU393" s="26"/>
      <c r="KIZ393" s="24"/>
      <c r="KJC393" s="24"/>
      <c r="KJE393" s="25"/>
      <c r="KJF393" s="26"/>
      <c r="KJK393" s="24"/>
      <c r="KJN393" s="24"/>
      <c r="KJP393" s="25"/>
      <c r="KJQ393" s="26"/>
      <c r="KJV393" s="24"/>
      <c r="KJY393" s="24"/>
      <c r="KKA393" s="25"/>
      <c r="KKB393" s="26"/>
      <c r="KKG393" s="24"/>
      <c r="KKJ393" s="24"/>
      <c r="KKL393" s="25"/>
      <c r="KKM393" s="26"/>
      <c r="KKR393" s="24"/>
      <c r="KKU393" s="24"/>
      <c r="KKW393" s="25"/>
      <c r="KKX393" s="26"/>
      <c r="KLC393" s="24"/>
      <c r="KLF393" s="24"/>
      <c r="KLH393" s="25"/>
      <c r="KLI393" s="26"/>
      <c r="KLN393" s="24"/>
      <c r="KLQ393" s="24"/>
      <c r="KLS393" s="25"/>
      <c r="KLT393" s="26"/>
      <c r="KLY393" s="24"/>
      <c r="KMB393" s="24"/>
      <c r="KMD393" s="25"/>
      <c r="KME393" s="26"/>
      <c r="KMJ393" s="24"/>
      <c r="KMM393" s="24"/>
      <c r="KMO393" s="25"/>
      <c r="KMP393" s="26"/>
      <c r="KMU393" s="24"/>
      <c r="KMX393" s="24"/>
      <c r="KMZ393" s="25"/>
      <c r="KNA393" s="26"/>
      <c r="KNF393" s="24"/>
      <c r="KNI393" s="24"/>
      <c r="KNK393" s="25"/>
      <c r="KNL393" s="26"/>
      <c r="KNQ393" s="24"/>
      <c r="KNT393" s="24"/>
      <c r="KNV393" s="25"/>
      <c r="KNW393" s="26"/>
      <c r="KOB393" s="24"/>
      <c r="KOE393" s="24"/>
      <c r="KOG393" s="25"/>
      <c r="KOH393" s="26"/>
      <c r="KOM393" s="24"/>
      <c r="KOP393" s="24"/>
      <c r="KOR393" s="25"/>
      <c r="KOS393" s="26"/>
      <c r="KOX393" s="24"/>
      <c r="KPA393" s="24"/>
      <c r="KPC393" s="25"/>
      <c r="KPD393" s="26"/>
      <c r="KPI393" s="24"/>
      <c r="KPL393" s="24"/>
      <c r="KPN393" s="25"/>
      <c r="KPO393" s="26"/>
      <c r="KPT393" s="24"/>
      <c r="KPW393" s="24"/>
      <c r="KPY393" s="25"/>
      <c r="KPZ393" s="26"/>
      <c r="KQE393" s="24"/>
      <c r="KQH393" s="24"/>
      <c r="KQJ393" s="25"/>
      <c r="KQK393" s="26"/>
      <c r="KQP393" s="24"/>
      <c r="KQS393" s="24"/>
      <c r="KQU393" s="25"/>
      <c r="KQV393" s="26"/>
      <c r="KRA393" s="24"/>
      <c r="KRD393" s="24"/>
      <c r="KRF393" s="25"/>
      <c r="KRG393" s="26"/>
      <c r="KRL393" s="24"/>
      <c r="KRO393" s="24"/>
      <c r="KRQ393" s="25"/>
      <c r="KRR393" s="26"/>
      <c r="KRW393" s="24"/>
      <c r="KRZ393" s="24"/>
      <c r="KSB393" s="25"/>
      <c r="KSC393" s="26"/>
      <c r="KSH393" s="24"/>
      <c r="KSK393" s="24"/>
      <c r="KSM393" s="25"/>
      <c r="KSN393" s="26"/>
      <c r="KSS393" s="24"/>
      <c r="KSV393" s="24"/>
      <c r="KSX393" s="25"/>
      <c r="KSY393" s="26"/>
      <c r="KTD393" s="24"/>
      <c r="KTG393" s="24"/>
      <c r="KTI393" s="25"/>
      <c r="KTJ393" s="26"/>
      <c r="KTO393" s="24"/>
      <c r="KTR393" s="24"/>
      <c r="KTT393" s="25"/>
      <c r="KTU393" s="26"/>
      <c r="KTZ393" s="24"/>
      <c r="KUC393" s="24"/>
      <c r="KUE393" s="25"/>
      <c r="KUF393" s="26"/>
      <c r="KUK393" s="24"/>
      <c r="KUN393" s="24"/>
      <c r="KUP393" s="25"/>
      <c r="KUQ393" s="26"/>
      <c r="KUV393" s="24"/>
      <c r="KUY393" s="24"/>
      <c r="KVA393" s="25"/>
      <c r="KVB393" s="26"/>
      <c r="KVG393" s="24"/>
      <c r="KVJ393" s="24"/>
      <c r="KVL393" s="25"/>
      <c r="KVM393" s="26"/>
      <c r="KVR393" s="24"/>
      <c r="KVU393" s="24"/>
      <c r="KVW393" s="25"/>
      <c r="KVX393" s="26"/>
      <c r="KWC393" s="24"/>
      <c r="KWF393" s="24"/>
      <c r="KWH393" s="25"/>
      <c r="KWI393" s="26"/>
      <c r="KWN393" s="24"/>
      <c r="KWQ393" s="24"/>
      <c r="KWS393" s="25"/>
      <c r="KWT393" s="26"/>
      <c r="KWY393" s="24"/>
      <c r="KXB393" s="24"/>
      <c r="KXD393" s="25"/>
      <c r="KXE393" s="26"/>
      <c r="KXJ393" s="24"/>
      <c r="KXM393" s="24"/>
      <c r="KXO393" s="25"/>
      <c r="KXP393" s="26"/>
      <c r="KXU393" s="24"/>
      <c r="KXX393" s="24"/>
      <c r="KXZ393" s="25"/>
      <c r="KYA393" s="26"/>
      <c r="KYF393" s="24"/>
      <c r="KYI393" s="24"/>
      <c r="KYK393" s="25"/>
      <c r="KYL393" s="26"/>
      <c r="KYQ393" s="24"/>
      <c r="KYT393" s="24"/>
      <c r="KYV393" s="25"/>
      <c r="KYW393" s="26"/>
      <c r="KZB393" s="24"/>
      <c r="KZE393" s="24"/>
      <c r="KZG393" s="25"/>
      <c r="KZH393" s="26"/>
      <c r="KZM393" s="24"/>
      <c r="KZP393" s="24"/>
      <c r="KZR393" s="25"/>
      <c r="KZS393" s="26"/>
      <c r="KZX393" s="24"/>
      <c r="LAA393" s="24"/>
      <c r="LAC393" s="25"/>
      <c r="LAD393" s="26"/>
      <c r="LAI393" s="24"/>
      <c r="LAL393" s="24"/>
      <c r="LAN393" s="25"/>
      <c r="LAO393" s="26"/>
      <c r="LAT393" s="24"/>
      <c r="LAW393" s="24"/>
      <c r="LAY393" s="25"/>
      <c r="LAZ393" s="26"/>
      <c r="LBE393" s="24"/>
      <c r="LBH393" s="24"/>
      <c r="LBJ393" s="25"/>
      <c r="LBK393" s="26"/>
      <c r="LBP393" s="24"/>
      <c r="LBS393" s="24"/>
      <c r="LBU393" s="25"/>
      <c r="LBV393" s="26"/>
      <c r="LCA393" s="24"/>
      <c r="LCD393" s="24"/>
      <c r="LCF393" s="25"/>
      <c r="LCG393" s="26"/>
      <c r="LCL393" s="24"/>
      <c r="LCO393" s="24"/>
      <c r="LCQ393" s="25"/>
      <c r="LCR393" s="26"/>
      <c r="LCW393" s="24"/>
      <c r="LCZ393" s="24"/>
      <c r="LDB393" s="25"/>
      <c r="LDC393" s="26"/>
      <c r="LDH393" s="24"/>
      <c r="LDK393" s="24"/>
      <c r="LDM393" s="25"/>
      <c r="LDN393" s="26"/>
      <c r="LDS393" s="24"/>
      <c r="LDV393" s="24"/>
      <c r="LDX393" s="25"/>
      <c r="LDY393" s="26"/>
      <c r="LED393" s="24"/>
      <c r="LEG393" s="24"/>
      <c r="LEI393" s="25"/>
      <c r="LEJ393" s="26"/>
      <c r="LEO393" s="24"/>
      <c r="LER393" s="24"/>
      <c r="LET393" s="25"/>
      <c r="LEU393" s="26"/>
      <c r="LEZ393" s="24"/>
      <c r="LFC393" s="24"/>
      <c r="LFE393" s="25"/>
      <c r="LFF393" s="26"/>
      <c r="LFK393" s="24"/>
      <c r="LFN393" s="24"/>
      <c r="LFP393" s="25"/>
      <c r="LFQ393" s="26"/>
      <c r="LFV393" s="24"/>
      <c r="LFY393" s="24"/>
      <c r="LGA393" s="25"/>
      <c r="LGB393" s="26"/>
      <c r="LGG393" s="24"/>
      <c r="LGJ393" s="24"/>
      <c r="LGL393" s="25"/>
      <c r="LGM393" s="26"/>
      <c r="LGR393" s="24"/>
      <c r="LGU393" s="24"/>
      <c r="LGW393" s="25"/>
      <c r="LGX393" s="26"/>
      <c r="LHC393" s="24"/>
      <c r="LHF393" s="24"/>
      <c r="LHH393" s="25"/>
      <c r="LHI393" s="26"/>
      <c r="LHN393" s="24"/>
      <c r="LHQ393" s="24"/>
      <c r="LHS393" s="25"/>
      <c r="LHT393" s="26"/>
      <c r="LHY393" s="24"/>
      <c r="LIB393" s="24"/>
      <c r="LID393" s="25"/>
      <c r="LIE393" s="26"/>
      <c r="LIJ393" s="24"/>
      <c r="LIM393" s="24"/>
      <c r="LIO393" s="25"/>
      <c r="LIP393" s="26"/>
      <c r="LIU393" s="24"/>
      <c r="LIX393" s="24"/>
      <c r="LIZ393" s="25"/>
      <c r="LJA393" s="26"/>
      <c r="LJF393" s="24"/>
      <c r="LJI393" s="24"/>
      <c r="LJK393" s="25"/>
      <c r="LJL393" s="26"/>
      <c r="LJQ393" s="24"/>
      <c r="LJT393" s="24"/>
      <c r="LJV393" s="25"/>
      <c r="LJW393" s="26"/>
      <c r="LKB393" s="24"/>
      <c r="LKE393" s="24"/>
      <c r="LKG393" s="25"/>
      <c r="LKH393" s="26"/>
      <c r="LKM393" s="24"/>
      <c r="LKP393" s="24"/>
      <c r="LKR393" s="25"/>
      <c r="LKS393" s="26"/>
      <c r="LKX393" s="24"/>
      <c r="LLA393" s="24"/>
      <c r="LLC393" s="25"/>
      <c r="LLD393" s="26"/>
      <c r="LLI393" s="24"/>
      <c r="LLL393" s="24"/>
      <c r="LLN393" s="25"/>
      <c r="LLO393" s="26"/>
      <c r="LLT393" s="24"/>
      <c r="LLW393" s="24"/>
      <c r="LLY393" s="25"/>
      <c r="LLZ393" s="26"/>
      <c r="LME393" s="24"/>
      <c r="LMH393" s="24"/>
      <c r="LMJ393" s="25"/>
      <c r="LMK393" s="26"/>
      <c r="LMP393" s="24"/>
      <c r="LMS393" s="24"/>
      <c r="LMU393" s="25"/>
      <c r="LMV393" s="26"/>
      <c r="LNA393" s="24"/>
      <c r="LND393" s="24"/>
      <c r="LNF393" s="25"/>
      <c r="LNG393" s="26"/>
      <c r="LNL393" s="24"/>
      <c r="LNO393" s="24"/>
      <c r="LNQ393" s="25"/>
      <c r="LNR393" s="26"/>
      <c r="LNW393" s="24"/>
      <c r="LNZ393" s="24"/>
      <c r="LOB393" s="25"/>
      <c r="LOC393" s="26"/>
      <c r="LOH393" s="24"/>
      <c r="LOK393" s="24"/>
      <c r="LOM393" s="25"/>
      <c r="LON393" s="26"/>
      <c r="LOS393" s="24"/>
      <c r="LOV393" s="24"/>
      <c r="LOX393" s="25"/>
      <c r="LOY393" s="26"/>
      <c r="LPD393" s="24"/>
      <c r="LPG393" s="24"/>
      <c r="LPI393" s="25"/>
      <c r="LPJ393" s="26"/>
      <c r="LPO393" s="24"/>
      <c r="LPR393" s="24"/>
      <c r="LPT393" s="25"/>
      <c r="LPU393" s="26"/>
      <c r="LPZ393" s="24"/>
      <c r="LQC393" s="24"/>
      <c r="LQE393" s="25"/>
      <c r="LQF393" s="26"/>
      <c r="LQK393" s="24"/>
      <c r="LQN393" s="24"/>
      <c r="LQP393" s="25"/>
      <c r="LQQ393" s="26"/>
      <c r="LQV393" s="24"/>
      <c r="LQY393" s="24"/>
      <c r="LRA393" s="25"/>
      <c r="LRB393" s="26"/>
      <c r="LRG393" s="24"/>
      <c r="LRJ393" s="24"/>
      <c r="LRL393" s="25"/>
      <c r="LRM393" s="26"/>
      <c r="LRR393" s="24"/>
      <c r="LRU393" s="24"/>
      <c r="LRW393" s="25"/>
      <c r="LRX393" s="26"/>
      <c r="LSC393" s="24"/>
      <c r="LSF393" s="24"/>
      <c r="LSH393" s="25"/>
      <c r="LSI393" s="26"/>
      <c r="LSN393" s="24"/>
      <c r="LSQ393" s="24"/>
      <c r="LSS393" s="25"/>
      <c r="LST393" s="26"/>
      <c r="LSY393" s="24"/>
      <c r="LTB393" s="24"/>
      <c r="LTD393" s="25"/>
      <c r="LTE393" s="26"/>
      <c r="LTJ393" s="24"/>
      <c r="LTM393" s="24"/>
      <c r="LTO393" s="25"/>
      <c r="LTP393" s="26"/>
      <c r="LTU393" s="24"/>
      <c r="LTX393" s="24"/>
      <c r="LTZ393" s="25"/>
      <c r="LUA393" s="26"/>
      <c r="LUF393" s="24"/>
      <c r="LUI393" s="24"/>
      <c r="LUK393" s="25"/>
      <c r="LUL393" s="26"/>
      <c r="LUQ393" s="24"/>
      <c r="LUT393" s="24"/>
      <c r="LUV393" s="25"/>
      <c r="LUW393" s="26"/>
      <c r="LVB393" s="24"/>
      <c r="LVE393" s="24"/>
      <c r="LVG393" s="25"/>
      <c r="LVH393" s="26"/>
      <c r="LVM393" s="24"/>
      <c r="LVP393" s="24"/>
      <c r="LVR393" s="25"/>
      <c r="LVS393" s="26"/>
      <c r="LVX393" s="24"/>
      <c r="LWA393" s="24"/>
      <c r="LWC393" s="25"/>
      <c r="LWD393" s="26"/>
      <c r="LWI393" s="24"/>
      <c r="LWL393" s="24"/>
      <c r="LWN393" s="25"/>
      <c r="LWO393" s="26"/>
      <c r="LWT393" s="24"/>
      <c r="LWW393" s="24"/>
      <c r="LWY393" s="25"/>
      <c r="LWZ393" s="26"/>
      <c r="LXE393" s="24"/>
      <c r="LXH393" s="24"/>
      <c r="LXJ393" s="25"/>
      <c r="LXK393" s="26"/>
      <c r="LXP393" s="24"/>
      <c r="LXS393" s="24"/>
      <c r="LXU393" s="25"/>
      <c r="LXV393" s="26"/>
      <c r="LYA393" s="24"/>
      <c r="LYD393" s="24"/>
      <c r="LYF393" s="25"/>
      <c r="LYG393" s="26"/>
      <c r="LYL393" s="24"/>
      <c r="LYO393" s="24"/>
      <c r="LYQ393" s="25"/>
      <c r="LYR393" s="26"/>
      <c r="LYW393" s="24"/>
      <c r="LYZ393" s="24"/>
      <c r="LZB393" s="25"/>
      <c r="LZC393" s="26"/>
      <c r="LZH393" s="24"/>
      <c r="LZK393" s="24"/>
      <c r="LZM393" s="25"/>
      <c r="LZN393" s="26"/>
      <c r="LZS393" s="24"/>
      <c r="LZV393" s="24"/>
      <c r="LZX393" s="25"/>
      <c r="LZY393" s="26"/>
      <c r="MAD393" s="24"/>
      <c r="MAG393" s="24"/>
      <c r="MAI393" s="25"/>
      <c r="MAJ393" s="26"/>
      <c r="MAO393" s="24"/>
      <c r="MAR393" s="24"/>
      <c r="MAT393" s="25"/>
      <c r="MAU393" s="26"/>
      <c r="MAZ393" s="24"/>
      <c r="MBC393" s="24"/>
      <c r="MBE393" s="25"/>
      <c r="MBF393" s="26"/>
      <c r="MBK393" s="24"/>
      <c r="MBN393" s="24"/>
      <c r="MBP393" s="25"/>
      <c r="MBQ393" s="26"/>
      <c r="MBV393" s="24"/>
      <c r="MBY393" s="24"/>
      <c r="MCA393" s="25"/>
      <c r="MCB393" s="26"/>
      <c r="MCG393" s="24"/>
      <c r="MCJ393" s="24"/>
      <c r="MCL393" s="25"/>
      <c r="MCM393" s="26"/>
      <c r="MCR393" s="24"/>
      <c r="MCU393" s="24"/>
      <c r="MCW393" s="25"/>
      <c r="MCX393" s="26"/>
      <c r="MDC393" s="24"/>
      <c r="MDF393" s="24"/>
      <c r="MDH393" s="25"/>
      <c r="MDI393" s="26"/>
      <c r="MDN393" s="24"/>
      <c r="MDQ393" s="24"/>
      <c r="MDS393" s="25"/>
      <c r="MDT393" s="26"/>
      <c r="MDY393" s="24"/>
      <c r="MEB393" s="24"/>
      <c r="MED393" s="25"/>
      <c r="MEE393" s="26"/>
      <c r="MEJ393" s="24"/>
      <c r="MEM393" s="24"/>
      <c r="MEO393" s="25"/>
      <c r="MEP393" s="26"/>
      <c r="MEU393" s="24"/>
      <c r="MEX393" s="24"/>
      <c r="MEZ393" s="25"/>
      <c r="MFA393" s="26"/>
      <c r="MFF393" s="24"/>
      <c r="MFI393" s="24"/>
      <c r="MFK393" s="25"/>
      <c r="MFL393" s="26"/>
      <c r="MFQ393" s="24"/>
      <c r="MFT393" s="24"/>
      <c r="MFV393" s="25"/>
      <c r="MFW393" s="26"/>
      <c r="MGB393" s="24"/>
      <c r="MGE393" s="24"/>
      <c r="MGG393" s="25"/>
      <c r="MGH393" s="26"/>
      <c r="MGM393" s="24"/>
      <c r="MGP393" s="24"/>
      <c r="MGR393" s="25"/>
      <c r="MGS393" s="26"/>
      <c r="MGX393" s="24"/>
      <c r="MHA393" s="24"/>
      <c r="MHC393" s="25"/>
      <c r="MHD393" s="26"/>
      <c r="MHI393" s="24"/>
      <c r="MHL393" s="24"/>
      <c r="MHN393" s="25"/>
      <c r="MHO393" s="26"/>
      <c r="MHT393" s="24"/>
      <c r="MHW393" s="24"/>
      <c r="MHY393" s="25"/>
      <c r="MHZ393" s="26"/>
      <c r="MIE393" s="24"/>
      <c r="MIH393" s="24"/>
      <c r="MIJ393" s="25"/>
      <c r="MIK393" s="26"/>
      <c r="MIP393" s="24"/>
      <c r="MIS393" s="24"/>
      <c r="MIU393" s="25"/>
      <c r="MIV393" s="26"/>
      <c r="MJA393" s="24"/>
      <c r="MJD393" s="24"/>
      <c r="MJF393" s="25"/>
      <c r="MJG393" s="26"/>
      <c r="MJL393" s="24"/>
      <c r="MJO393" s="24"/>
      <c r="MJQ393" s="25"/>
      <c r="MJR393" s="26"/>
      <c r="MJW393" s="24"/>
      <c r="MJZ393" s="24"/>
      <c r="MKB393" s="25"/>
      <c r="MKC393" s="26"/>
      <c r="MKH393" s="24"/>
      <c r="MKK393" s="24"/>
      <c r="MKM393" s="25"/>
      <c r="MKN393" s="26"/>
      <c r="MKS393" s="24"/>
      <c r="MKV393" s="24"/>
      <c r="MKX393" s="25"/>
      <c r="MKY393" s="26"/>
      <c r="MLD393" s="24"/>
      <c r="MLG393" s="24"/>
      <c r="MLI393" s="25"/>
      <c r="MLJ393" s="26"/>
      <c r="MLO393" s="24"/>
      <c r="MLR393" s="24"/>
      <c r="MLT393" s="25"/>
      <c r="MLU393" s="26"/>
      <c r="MLZ393" s="24"/>
      <c r="MMC393" s="24"/>
      <c r="MME393" s="25"/>
      <c r="MMF393" s="26"/>
      <c r="MMK393" s="24"/>
      <c r="MMN393" s="24"/>
      <c r="MMP393" s="25"/>
      <c r="MMQ393" s="26"/>
      <c r="MMV393" s="24"/>
      <c r="MMY393" s="24"/>
      <c r="MNA393" s="25"/>
      <c r="MNB393" s="26"/>
      <c r="MNG393" s="24"/>
      <c r="MNJ393" s="24"/>
      <c r="MNL393" s="25"/>
      <c r="MNM393" s="26"/>
      <c r="MNR393" s="24"/>
      <c r="MNU393" s="24"/>
      <c r="MNW393" s="25"/>
      <c r="MNX393" s="26"/>
      <c r="MOC393" s="24"/>
      <c r="MOF393" s="24"/>
      <c r="MOH393" s="25"/>
      <c r="MOI393" s="26"/>
      <c r="MON393" s="24"/>
      <c r="MOQ393" s="24"/>
      <c r="MOS393" s="25"/>
      <c r="MOT393" s="26"/>
      <c r="MOY393" s="24"/>
      <c r="MPB393" s="24"/>
      <c r="MPD393" s="25"/>
      <c r="MPE393" s="26"/>
      <c r="MPJ393" s="24"/>
      <c r="MPM393" s="24"/>
      <c r="MPO393" s="25"/>
      <c r="MPP393" s="26"/>
      <c r="MPU393" s="24"/>
      <c r="MPX393" s="24"/>
      <c r="MPZ393" s="25"/>
      <c r="MQA393" s="26"/>
      <c r="MQF393" s="24"/>
      <c r="MQI393" s="24"/>
      <c r="MQK393" s="25"/>
      <c r="MQL393" s="26"/>
      <c r="MQQ393" s="24"/>
      <c r="MQT393" s="24"/>
      <c r="MQV393" s="25"/>
      <c r="MQW393" s="26"/>
      <c r="MRB393" s="24"/>
      <c r="MRE393" s="24"/>
      <c r="MRG393" s="25"/>
      <c r="MRH393" s="26"/>
      <c r="MRM393" s="24"/>
      <c r="MRP393" s="24"/>
      <c r="MRR393" s="25"/>
      <c r="MRS393" s="26"/>
      <c r="MRX393" s="24"/>
      <c r="MSA393" s="24"/>
      <c r="MSC393" s="25"/>
      <c r="MSD393" s="26"/>
      <c r="MSI393" s="24"/>
      <c r="MSL393" s="24"/>
      <c r="MSN393" s="25"/>
      <c r="MSO393" s="26"/>
      <c r="MST393" s="24"/>
      <c r="MSW393" s="24"/>
      <c r="MSY393" s="25"/>
      <c r="MSZ393" s="26"/>
      <c r="MTE393" s="24"/>
      <c r="MTH393" s="24"/>
      <c r="MTJ393" s="25"/>
      <c r="MTK393" s="26"/>
      <c r="MTP393" s="24"/>
      <c r="MTS393" s="24"/>
      <c r="MTU393" s="25"/>
      <c r="MTV393" s="26"/>
      <c r="MUA393" s="24"/>
      <c r="MUD393" s="24"/>
      <c r="MUF393" s="25"/>
      <c r="MUG393" s="26"/>
      <c r="MUL393" s="24"/>
      <c r="MUO393" s="24"/>
      <c r="MUQ393" s="25"/>
      <c r="MUR393" s="26"/>
      <c r="MUW393" s="24"/>
      <c r="MUZ393" s="24"/>
      <c r="MVB393" s="25"/>
      <c r="MVC393" s="26"/>
      <c r="MVH393" s="24"/>
      <c r="MVK393" s="24"/>
      <c r="MVM393" s="25"/>
      <c r="MVN393" s="26"/>
      <c r="MVS393" s="24"/>
      <c r="MVV393" s="24"/>
      <c r="MVX393" s="25"/>
      <c r="MVY393" s="26"/>
      <c r="MWD393" s="24"/>
      <c r="MWG393" s="24"/>
      <c r="MWI393" s="25"/>
      <c r="MWJ393" s="26"/>
      <c r="MWO393" s="24"/>
      <c r="MWR393" s="24"/>
      <c r="MWT393" s="25"/>
      <c r="MWU393" s="26"/>
      <c r="MWZ393" s="24"/>
      <c r="MXC393" s="24"/>
      <c r="MXE393" s="25"/>
      <c r="MXF393" s="26"/>
      <c r="MXK393" s="24"/>
      <c r="MXN393" s="24"/>
      <c r="MXP393" s="25"/>
      <c r="MXQ393" s="26"/>
      <c r="MXV393" s="24"/>
      <c r="MXY393" s="24"/>
      <c r="MYA393" s="25"/>
      <c r="MYB393" s="26"/>
      <c r="MYG393" s="24"/>
      <c r="MYJ393" s="24"/>
      <c r="MYL393" s="25"/>
      <c r="MYM393" s="26"/>
      <c r="MYR393" s="24"/>
      <c r="MYU393" s="24"/>
      <c r="MYW393" s="25"/>
      <c r="MYX393" s="26"/>
      <c r="MZC393" s="24"/>
      <c r="MZF393" s="24"/>
      <c r="MZH393" s="25"/>
      <c r="MZI393" s="26"/>
      <c r="MZN393" s="24"/>
      <c r="MZQ393" s="24"/>
      <c r="MZS393" s="25"/>
      <c r="MZT393" s="26"/>
      <c r="MZY393" s="24"/>
      <c r="NAB393" s="24"/>
      <c r="NAD393" s="25"/>
      <c r="NAE393" s="26"/>
      <c r="NAJ393" s="24"/>
      <c r="NAM393" s="24"/>
      <c r="NAO393" s="25"/>
      <c r="NAP393" s="26"/>
      <c r="NAU393" s="24"/>
      <c r="NAX393" s="24"/>
      <c r="NAZ393" s="25"/>
      <c r="NBA393" s="26"/>
      <c r="NBF393" s="24"/>
      <c r="NBI393" s="24"/>
      <c r="NBK393" s="25"/>
      <c r="NBL393" s="26"/>
      <c r="NBQ393" s="24"/>
      <c r="NBT393" s="24"/>
      <c r="NBV393" s="25"/>
      <c r="NBW393" s="26"/>
      <c r="NCB393" s="24"/>
      <c r="NCE393" s="24"/>
      <c r="NCG393" s="25"/>
      <c r="NCH393" s="26"/>
      <c r="NCM393" s="24"/>
      <c r="NCP393" s="24"/>
      <c r="NCR393" s="25"/>
      <c r="NCS393" s="26"/>
      <c r="NCX393" s="24"/>
      <c r="NDA393" s="24"/>
      <c r="NDC393" s="25"/>
      <c r="NDD393" s="26"/>
      <c r="NDI393" s="24"/>
      <c r="NDL393" s="24"/>
      <c r="NDN393" s="25"/>
      <c r="NDO393" s="26"/>
      <c r="NDT393" s="24"/>
      <c r="NDW393" s="24"/>
      <c r="NDY393" s="25"/>
      <c r="NDZ393" s="26"/>
      <c r="NEE393" s="24"/>
      <c r="NEH393" s="24"/>
      <c r="NEJ393" s="25"/>
      <c r="NEK393" s="26"/>
      <c r="NEP393" s="24"/>
      <c r="NES393" s="24"/>
      <c r="NEU393" s="25"/>
      <c r="NEV393" s="26"/>
      <c r="NFA393" s="24"/>
      <c r="NFD393" s="24"/>
      <c r="NFF393" s="25"/>
      <c r="NFG393" s="26"/>
      <c r="NFL393" s="24"/>
      <c r="NFO393" s="24"/>
      <c r="NFQ393" s="25"/>
      <c r="NFR393" s="26"/>
      <c r="NFW393" s="24"/>
      <c r="NFZ393" s="24"/>
      <c r="NGB393" s="25"/>
      <c r="NGC393" s="26"/>
      <c r="NGH393" s="24"/>
      <c r="NGK393" s="24"/>
      <c r="NGM393" s="25"/>
      <c r="NGN393" s="26"/>
      <c r="NGS393" s="24"/>
      <c r="NGV393" s="24"/>
      <c r="NGX393" s="25"/>
      <c r="NGY393" s="26"/>
      <c r="NHD393" s="24"/>
      <c r="NHG393" s="24"/>
      <c r="NHI393" s="25"/>
      <c r="NHJ393" s="26"/>
      <c r="NHO393" s="24"/>
      <c r="NHR393" s="24"/>
      <c r="NHT393" s="25"/>
      <c r="NHU393" s="26"/>
      <c r="NHZ393" s="24"/>
      <c r="NIC393" s="24"/>
      <c r="NIE393" s="25"/>
      <c r="NIF393" s="26"/>
      <c r="NIK393" s="24"/>
      <c r="NIN393" s="24"/>
      <c r="NIP393" s="25"/>
      <c r="NIQ393" s="26"/>
      <c r="NIV393" s="24"/>
      <c r="NIY393" s="24"/>
      <c r="NJA393" s="25"/>
      <c r="NJB393" s="26"/>
      <c r="NJG393" s="24"/>
      <c r="NJJ393" s="24"/>
      <c r="NJL393" s="25"/>
      <c r="NJM393" s="26"/>
      <c r="NJR393" s="24"/>
      <c r="NJU393" s="24"/>
      <c r="NJW393" s="25"/>
      <c r="NJX393" s="26"/>
      <c r="NKC393" s="24"/>
      <c r="NKF393" s="24"/>
      <c r="NKH393" s="25"/>
      <c r="NKI393" s="26"/>
      <c r="NKN393" s="24"/>
      <c r="NKQ393" s="24"/>
      <c r="NKS393" s="25"/>
      <c r="NKT393" s="26"/>
      <c r="NKY393" s="24"/>
      <c r="NLB393" s="24"/>
      <c r="NLD393" s="25"/>
      <c r="NLE393" s="26"/>
      <c r="NLJ393" s="24"/>
      <c r="NLM393" s="24"/>
      <c r="NLO393" s="25"/>
      <c r="NLP393" s="26"/>
      <c r="NLU393" s="24"/>
      <c r="NLX393" s="24"/>
      <c r="NLZ393" s="25"/>
      <c r="NMA393" s="26"/>
      <c r="NMF393" s="24"/>
      <c r="NMI393" s="24"/>
      <c r="NMK393" s="25"/>
      <c r="NML393" s="26"/>
      <c r="NMQ393" s="24"/>
      <c r="NMT393" s="24"/>
      <c r="NMV393" s="25"/>
      <c r="NMW393" s="26"/>
      <c r="NNB393" s="24"/>
      <c r="NNE393" s="24"/>
      <c r="NNG393" s="25"/>
      <c r="NNH393" s="26"/>
      <c r="NNM393" s="24"/>
      <c r="NNP393" s="24"/>
      <c r="NNR393" s="25"/>
      <c r="NNS393" s="26"/>
      <c r="NNX393" s="24"/>
      <c r="NOA393" s="24"/>
      <c r="NOC393" s="25"/>
      <c r="NOD393" s="26"/>
      <c r="NOI393" s="24"/>
      <c r="NOL393" s="24"/>
      <c r="NON393" s="25"/>
      <c r="NOO393" s="26"/>
      <c r="NOT393" s="24"/>
      <c r="NOW393" s="24"/>
      <c r="NOY393" s="25"/>
      <c r="NOZ393" s="26"/>
      <c r="NPE393" s="24"/>
      <c r="NPH393" s="24"/>
      <c r="NPJ393" s="25"/>
      <c r="NPK393" s="26"/>
      <c r="NPP393" s="24"/>
      <c r="NPS393" s="24"/>
      <c r="NPU393" s="25"/>
      <c r="NPV393" s="26"/>
      <c r="NQA393" s="24"/>
      <c r="NQD393" s="24"/>
      <c r="NQF393" s="25"/>
      <c r="NQG393" s="26"/>
      <c r="NQL393" s="24"/>
      <c r="NQO393" s="24"/>
      <c r="NQQ393" s="25"/>
      <c r="NQR393" s="26"/>
      <c r="NQW393" s="24"/>
      <c r="NQZ393" s="24"/>
      <c r="NRB393" s="25"/>
      <c r="NRC393" s="26"/>
      <c r="NRH393" s="24"/>
      <c r="NRK393" s="24"/>
      <c r="NRM393" s="25"/>
      <c r="NRN393" s="26"/>
      <c r="NRS393" s="24"/>
      <c r="NRV393" s="24"/>
      <c r="NRX393" s="25"/>
      <c r="NRY393" s="26"/>
      <c r="NSD393" s="24"/>
      <c r="NSG393" s="24"/>
      <c r="NSI393" s="25"/>
      <c r="NSJ393" s="26"/>
      <c r="NSO393" s="24"/>
      <c r="NSR393" s="24"/>
      <c r="NST393" s="25"/>
      <c r="NSU393" s="26"/>
      <c r="NSZ393" s="24"/>
      <c r="NTC393" s="24"/>
      <c r="NTE393" s="25"/>
      <c r="NTF393" s="26"/>
      <c r="NTK393" s="24"/>
      <c r="NTN393" s="24"/>
      <c r="NTP393" s="25"/>
      <c r="NTQ393" s="26"/>
      <c r="NTV393" s="24"/>
      <c r="NTY393" s="24"/>
      <c r="NUA393" s="25"/>
      <c r="NUB393" s="26"/>
      <c r="NUG393" s="24"/>
      <c r="NUJ393" s="24"/>
      <c r="NUL393" s="25"/>
      <c r="NUM393" s="26"/>
      <c r="NUR393" s="24"/>
      <c r="NUU393" s="24"/>
      <c r="NUW393" s="25"/>
      <c r="NUX393" s="26"/>
      <c r="NVC393" s="24"/>
      <c r="NVF393" s="24"/>
      <c r="NVH393" s="25"/>
      <c r="NVI393" s="26"/>
      <c r="NVN393" s="24"/>
      <c r="NVQ393" s="24"/>
      <c r="NVS393" s="25"/>
      <c r="NVT393" s="26"/>
      <c r="NVY393" s="24"/>
      <c r="NWB393" s="24"/>
      <c r="NWD393" s="25"/>
      <c r="NWE393" s="26"/>
      <c r="NWJ393" s="24"/>
      <c r="NWM393" s="24"/>
      <c r="NWO393" s="25"/>
      <c r="NWP393" s="26"/>
      <c r="NWU393" s="24"/>
      <c r="NWX393" s="24"/>
      <c r="NWZ393" s="25"/>
      <c r="NXA393" s="26"/>
      <c r="NXF393" s="24"/>
      <c r="NXI393" s="24"/>
      <c r="NXK393" s="25"/>
      <c r="NXL393" s="26"/>
      <c r="NXQ393" s="24"/>
      <c r="NXT393" s="24"/>
      <c r="NXV393" s="25"/>
      <c r="NXW393" s="26"/>
      <c r="NYB393" s="24"/>
      <c r="NYE393" s="24"/>
      <c r="NYG393" s="25"/>
      <c r="NYH393" s="26"/>
      <c r="NYM393" s="24"/>
      <c r="NYP393" s="24"/>
      <c r="NYR393" s="25"/>
      <c r="NYS393" s="26"/>
      <c r="NYX393" s="24"/>
      <c r="NZA393" s="24"/>
      <c r="NZC393" s="25"/>
      <c r="NZD393" s="26"/>
      <c r="NZI393" s="24"/>
      <c r="NZL393" s="24"/>
      <c r="NZN393" s="25"/>
      <c r="NZO393" s="26"/>
      <c r="NZT393" s="24"/>
      <c r="NZW393" s="24"/>
      <c r="NZY393" s="25"/>
      <c r="NZZ393" s="26"/>
      <c r="OAE393" s="24"/>
      <c r="OAH393" s="24"/>
      <c r="OAJ393" s="25"/>
      <c r="OAK393" s="26"/>
      <c r="OAP393" s="24"/>
      <c r="OAS393" s="24"/>
      <c r="OAU393" s="25"/>
      <c r="OAV393" s="26"/>
      <c r="OBA393" s="24"/>
      <c r="OBD393" s="24"/>
      <c r="OBF393" s="25"/>
      <c r="OBG393" s="26"/>
      <c r="OBL393" s="24"/>
      <c r="OBO393" s="24"/>
      <c r="OBQ393" s="25"/>
      <c r="OBR393" s="26"/>
      <c r="OBW393" s="24"/>
      <c r="OBZ393" s="24"/>
      <c r="OCB393" s="25"/>
      <c r="OCC393" s="26"/>
      <c r="OCH393" s="24"/>
      <c r="OCK393" s="24"/>
      <c r="OCM393" s="25"/>
      <c r="OCN393" s="26"/>
      <c r="OCS393" s="24"/>
      <c r="OCV393" s="24"/>
      <c r="OCX393" s="25"/>
      <c r="OCY393" s="26"/>
      <c r="ODD393" s="24"/>
      <c r="ODG393" s="24"/>
      <c r="ODI393" s="25"/>
      <c r="ODJ393" s="26"/>
      <c r="ODO393" s="24"/>
      <c r="ODR393" s="24"/>
      <c r="ODT393" s="25"/>
      <c r="ODU393" s="26"/>
      <c r="ODZ393" s="24"/>
      <c r="OEC393" s="24"/>
      <c r="OEE393" s="25"/>
      <c r="OEF393" s="26"/>
      <c r="OEK393" s="24"/>
      <c r="OEN393" s="24"/>
      <c r="OEP393" s="25"/>
      <c r="OEQ393" s="26"/>
      <c r="OEV393" s="24"/>
      <c r="OEY393" s="24"/>
      <c r="OFA393" s="25"/>
      <c r="OFB393" s="26"/>
      <c r="OFG393" s="24"/>
      <c r="OFJ393" s="24"/>
      <c r="OFL393" s="25"/>
      <c r="OFM393" s="26"/>
      <c r="OFR393" s="24"/>
      <c r="OFU393" s="24"/>
      <c r="OFW393" s="25"/>
      <c r="OFX393" s="26"/>
      <c r="OGC393" s="24"/>
      <c r="OGF393" s="24"/>
      <c r="OGH393" s="25"/>
      <c r="OGI393" s="26"/>
      <c r="OGN393" s="24"/>
      <c r="OGQ393" s="24"/>
      <c r="OGS393" s="25"/>
      <c r="OGT393" s="26"/>
      <c r="OGY393" s="24"/>
      <c r="OHB393" s="24"/>
      <c r="OHD393" s="25"/>
      <c r="OHE393" s="26"/>
      <c r="OHJ393" s="24"/>
      <c r="OHM393" s="24"/>
      <c r="OHO393" s="25"/>
      <c r="OHP393" s="26"/>
      <c r="OHU393" s="24"/>
      <c r="OHX393" s="24"/>
      <c r="OHZ393" s="25"/>
      <c r="OIA393" s="26"/>
      <c r="OIF393" s="24"/>
      <c r="OII393" s="24"/>
      <c r="OIK393" s="25"/>
      <c r="OIL393" s="26"/>
      <c r="OIQ393" s="24"/>
      <c r="OIT393" s="24"/>
      <c r="OIV393" s="25"/>
      <c r="OIW393" s="26"/>
      <c r="OJB393" s="24"/>
      <c r="OJE393" s="24"/>
      <c r="OJG393" s="25"/>
      <c r="OJH393" s="26"/>
      <c r="OJM393" s="24"/>
      <c r="OJP393" s="24"/>
      <c r="OJR393" s="25"/>
      <c r="OJS393" s="26"/>
      <c r="OJX393" s="24"/>
      <c r="OKA393" s="24"/>
      <c r="OKC393" s="25"/>
      <c r="OKD393" s="26"/>
      <c r="OKI393" s="24"/>
      <c r="OKL393" s="24"/>
      <c r="OKN393" s="25"/>
      <c r="OKO393" s="26"/>
      <c r="OKT393" s="24"/>
      <c r="OKW393" s="24"/>
      <c r="OKY393" s="25"/>
      <c r="OKZ393" s="26"/>
      <c r="OLE393" s="24"/>
      <c r="OLH393" s="24"/>
      <c r="OLJ393" s="25"/>
      <c r="OLK393" s="26"/>
      <c r="OLP393" s="24"/>
      <c r="OLS393" s="24"/>
      <c r="OLU393" s="25"/>
      <c r="OLV393" s="26"/>
      <c r="OMA393" s="24"/>
      <c r="OMD393" s="24"/>
      <c r="OMF393" s="25"/>
      <c r="OMG393" s="26"/>
      <c r="OML393" s="24"/>
      <c r="OMO393" s="24"/>
      <c r="OMQ393" s="25"/>
      <c r="OMR393" s="26"/>
      <c r="OMW393" s="24"/>
      <c r="OMZ393" s="24"/>
      <c r="ONB393" s="25"/>
      <c r="ONC393" s="26"/>
      <c r="ONH393" s="24"/>
      <c r="ONK393" s="24"/>
      <c r="ONM393" s="25"/>
      <c r="ONN393" s="26"/>
      <c r="ONS393" s="24"/>
      <c r="ONV393" s="24"/>
      <c r="ONX393" s="25"/>
      <c r="ONY393" s="26"/>
      <c r="OOD393" s="24"/>
      <c r="OOG393" s="24"/>
      <c r="OOI393" s="25"/>
      <c r="OOJ393" s="26"/>
      <c r="OOO393" s="24"/>
      <c r="OOR393" s="24"/>
      <c r="OOT393" s="25"/>
      <c r="OOU393" s="26"/>
      <c r="OOZ393" s="24"/>
      <c r="OPC393" s="24"/>
      <c r="OPE393" s="25"/>
      <c r="OPF393" s="26"/>
      <c r="OPK393" s="24"/>
      <c r="OPN393" s="24"/>
      <c r="OPP393" s="25"/>
      <c r="OPQ393" s="26"/>
      <c r="OPV393" s="24"/>
      <c r="OPY393" s="24"/>
      <c r="OQA393" s="25"/>
      <c r="OQB393" s="26"/>
      <c r="OQG393" s="24"/>
      <c r="OQJ393" s="24"/>
      <c r="OQL393" s="25"/>
      <c r="OQM393" s="26"/>
      <c r="OQR393" s="24"/>
      <c r="OQU393" s="24"/>
      <c r="OQW393" s="25"/>
      <c r="OQX393" s="26"/>
      <c r="ORC393" s="24"/>
      <c r="ORF393" s="24"/>
      <c r="ORH393" s="25"/>
      <c r="ORI393" s="26"/>
      <c r="ORN393" s="24"/>
      <c r="ORQ393" s="24"/>
      <c r="ORS393" s="25"/>
      <c r="ORT393" s="26"/>
      <c r="ORY393" s="24"/>
      <c r="OSB393" s="24"/>
      <c r="OSD393" s="25"/>
      <c r="OSE393" s="26"/>
      <c r="OSJ393" s="24"/>
      <c r="OSM393" s="24"/>
      <c r="OSO393" s="25"/>
      <c r="OSP393" s="26"/>
      <c r="OSU393" s="24"/>
      <c r="OSX393" s="24"/>
      <c r="OSZ393" s="25"/>
      <c r="OTA393" s="26"/>
      <c r="OTF393" s="24"/>
      <c r="OTI393" s="24"/>
      <c r="OTK393" s="25"/>
      <c r="OTL393" s="26"/>
      <c r="OTQ393" s="24"/>
      <c r="OTT393" s="24"/>
      <c r="OTV393" s="25"/>
      <c r="OTW393" s="26"/>
      <c r="OUB393" s="24"/>
      <c r="OUE393" s="24"/>
      <c r="OUG393" s="25"/>
      <c r="OUH393" s="26"/>
      <c r="OUM393" s="24"/>
      <c r="OUP393" s="24"/>
      <c r="OUR393" s="25"/>
      <c r="OUS393" s="26"/>
      <c r="OUX393" s="24"/>
      <c r="OVA393" s="24"/>
      <c r="OVC393" s="25"/>
      <c r="OVD393" s="26"/>
      <c r="OVI393" s="24"/>
      <c r="OVL393" s="24"/>
      <c r="OVN393" s="25"/>
      <c r="OVO393" s="26"/>
      <c r="OVT393" s="24"/>
      <c r="OVW393" s="24"/>
      <c r="OVY393" s="25"/>
      <c r="OVZ393" s="26"/>
      <c r="OWE393" s="24"/>
      <c r="OWH393" s="24"/>
      <c r="OWJ393" s="25"/>
      <c r="OWK393" s="26"/>
      <c r="OWP393" s="24"/>
      <c r="OWS393" s="24"/>
      <c r="OWU393" s="25"/>
      <c r="OWV393" s="26"/>
      <c r="OXA393" s="24"/>
      <c r="OXD393" s="24"/>
      <c r="OXF393" s="25"/>
      <c r="OXG393" s="26"/>
      <c r="OXL393" s="24"/>
      <c r="OXO393" s="24"/>
      <c r="OXQ393" s="25"/>
      <c r="OXR393" s="26"/>
      <c r="OXW393" s="24"/>
      <c r="OXZ393" s="24"/>
      <c r="OYB393" s="25"/>
      <c r="OYC393" s="26"/>
      <c r="OYH393" s="24"/>
      <c r="OYK393" s="24"/>
      <c r="OYM393" s="25"/>
      <c r="OYN393" s="26"/>
      <c r="OYS393" s="24"/>
      <c r="OYV393" s="24"/>
      <c r="OYX393" s="25"/>
      <c r="OYY393" s="26"/>
      <c r="OZD393" s="24"/>
      <c r="OZG393" s="24"/>
      <c r="OZI393" s="25"/>
      <c r="OZJ393" s="26"/>
      <c r="OZO393" s="24"/>
      <c r="OZR393" s="24"/>
      <c r="OZT393" s="25"/>
      <c r="OZU393" s="26"/>
      <c r="OZZ393" s="24"/>
      <c r="PAC393" s="24"/>
      <c r="PAE393" s="25"/>
      <c r="PAF393" s="26"/>
      <c r="PAK393" s="24"/>
      <c r="PAN393" s="24"/>
      <c r="PAP393" s="25"/>
      <c r="PAQ393" s="26"/>
      <c r="PAV393" s="24"/>
      <c r="PAY393" s="24"/>
      <c r="PBA393" s="25"/>
      <c r="PBB393" s="26"/>
      <c r="PBG393" s="24"/>
      <c r="PBJ393" s="24"/>
      <c r="PBL393" s="25"/>
      <c r="PBM393" s="26"/>
      <c r="PBR393" s="24"/>
      <c r="PBU393" s="24"/>
      <c r="PBW393" s="25"/>
      <c r="PBX393" s="26"/>
      <c r="PCC393" s="24"/>
      <c r="PCF393" s="24"/>
      <c r="PCH393" s="25"/>
      <c r="PCI393" s="26"/>
      <c r="PCN393" s="24"/>
      <c r="PCQ393" s="24"/>
      <c r="PCS393" s="25"/>
      <c r="PCT393" s="26"/>
      <c r="PCY393" s="24"/>
      <c r="PDB393" s="24"/>
      <c r="PDD393" s="25"/>
      <c r="PDE393" s="26"/>
      <c r="PDJ393" s="24"/>
      <c r="PDM393" s="24"/>
      <c r="PDO393" s="25"/>
      <c r="PDP393" s="26"/>
      <c r="PDU393" s="24"/>
      <c r="PDX393" s="24"/>
      <c r="PDZ393" s="25"/>
      <c r="PEA393" s="26"/>
      <c r="PEF393" s="24"/>
      <c r="PEI393" s="24"/>
      <c r="PEK393" s="25"/>
      <c r="PEL393" s="26"/>
      <c r="PEQ393" s="24"/>
      <c r="PET393" s="24"/>
      <c r="PEV393" s="25"/>
      <c r="PEW393" s="26"/>
      <c r="PFB393" s="24"/>
      <c r="PFE393" s="24"/>
      <c r="PFG393" s="25"/>
      <c r="PFH393" s="26"/>
      <c r="PFM393" s="24"/>
      <c r="PFP393" s="24"/>
      <c r="PFR393" s="25"/>
      <c r="PFS393" s="26"/>
      <c r="PFX393" s="24"/>
      <c r="PGA393" s="24"/>
      <c r="PGC393" s="25"/>
      <c r="PGD393" s="26"/>
      <c r="PGI393" s="24"/>
      <c r="PGL393" s="24"/>
      <c r="PGN393" s="25"/>
      <c r="PGO393" s="26"/>
      <c r="PGT393" s="24"/>
      <c r="PGW393" s="24"/>
      <c r="PGY393" s="25"/>
      <c r="PGZ393" s="26"/>
      <c r="PHE393" s="24"/>
      <c r="PHH393" s="24"/>
      <c r="PHJ393" s="25"/>
      <c r="PHK393" s="26"/>
      <c r="PHP393" s="24"/>
      <c r="PHS393" s="24"/>
      <c r="PHU393" s="25"/>
      <c r="PHV393" s="26"/>
      <c r="PIA393" s="24"/>
      <c r="PID393" s="24"/>
      <c r="PIF393" s="25"/>
      <c r="PIG393" s="26"/>
      <c r="PIL393" s="24"/>
      <c r="PIO393" s="24"/>
      <c r="PIQ393" s="25"/>
      <c r="PIR393" s="26"/>
      <c r="PIW393" s="24"/>
      <c r="PIZ393" s="24"/>
      <c r="PJB393" s="25"/>
      <c r="PJC393" s="26"/>
      <c r="PJH393" s="24"/>
      <c r="PJK393" s="24"/>
      <c r="PJM393" s="25"/>
      <c r="PJN393" s="26"/>
      <c r="PJS393" s="24"/>
      <c r="PJV393" s="24"/>
      <c r="PJX393" s="25"/>
      <c r="PJY393" s="26"/>
      <c r="PKD393" s="24"/>
      <c r="PKG393" s="24"/>
      <c r="PKI393" s="25"/>
      <c r="PKJ393" s="26"/>
      <c r="PKO393" s="24"/>
      <c r="PKR393" s="24"/>
      <c r="PKT393" s="25"/>
      <c r="PKU393" s="26"/>
      <c r="PKZ393" s="24"/>
      <c r="PLC393" s="24"/>
      <c r="PLE393" s="25"/>
      <c r="PLF393" s="26"/>
      <c r="PLK393" s="24"/>
      <c r="PLN393" s="24"/>
      <c r="PLP393" s="25"/>
      <c r="PLQ393" s="26"/>
      <c r="PLV393" s="24"/>
      <c r="PLY393" s="24"/>
      <c r="PMA393" s="25"/>
      <c r="PMB393" s="26"/>
      <c r="PMG393" s="24"/>
      <c r="PMJ393" s="24"/>
      <c r="PML393" s="25"/>
      <c r="PMM393" s="26"/>
      <c r="PMR393" s="24"/>
      <c r="PMU393" s="24"/>
      <c r="PMW393" s="25"/>
      <c r="PMX393" s="26"/>
      <c r="PNC393" s="24"/>
      <c r="PNF393" s="24"/>
      <c r="PNH393" s="25"/>
      <c r="PNI393" s="26"/>
      <c r="PNN393" s="24"/>
      <c r="PNQ393" s="24"/>
      <c r="PNS393" s="25"/>
      <c r="PNT393" s="26"/>
      <c r="PNY393" s="24"/>
      <c r="POB393" s="24"/>
      <c r="POD393" s="25"/>
      <c r="POE393" s="26"/>
      <c r="POJ393" s="24"/>
      <c r="POM393" s="24"/>
      <c r="POO393" s="25"/>
      <c r="POP393" s="26"/>
      <c r="POU393" s="24"/>
      <c r="POX393" s="24"/>
      <c r="POZ393" s="25"/>
      <c r="PPA393" s="26"/>
      <c r="PPF393" s="24"/>
      <c r="PPI393" s="24"/>
      <c r="PPK393" s="25"/>
      <c r="PPL393" s="26"/>
      <c r="PPQ393" s="24"/>
      <c r="PPT393" s="24"/>
      <c r="PPV393" s="25"/>
      <c r="PPW393" s="26"/>
      <c r="PQB393" s="24"/>
      <c r="PQE393" s="24"/>
      <c r="PQG393" s="25"/>
      <c r="PQH393" s="26"/>
      <c r="PQM393" s="24"/>
      <c r="PQP393" s="24"/>
      <c r="PQR393" s="25"/>
      <c r="PQS393" s="26"/>
      <c r="PQX393" s="24"/>
      <c r="PRA393" s="24"/>
      <c r="PRC393" s="25"/>
      <c r="PRD393" s="26"/>
      <c r="PRI393" s="24"/>
      <c r="PRL393" s="24"/>
      <c r="PRN393" s="25"/>
      <c r="PRO393" s="26"/>
      <c r="PRT393" s="24"/>
      <c r="PRW393" s="24"/>
      <c r="PRY393" s="25"/>
      <c r="PRZ393" s="26"/>
      <c r="PSE393" s="24"/>
      <c r="PSH393" s="24"/>
      <c r="PSJ393" s="25"/>
      <c r="PSK393" s="26"/>
      <c r="PSP393" s="24"/>
      <c r="PSS393" s="24"/>
      <c r="PSU393" s="25"/>
      <c r="PSV393" s="26"/>
      <c r="PTA393" s="24"/>
      <c r="PTD393" s="24"/>
      <c r="PTF393" s="25"/>
      <c r="PTG393" s="26"/>
      <c r="PTL393" s="24"/>
      <c r="PTO393" s="24"/>
      <c r="PTQ393" s="25"/>
      <c r="PTR393" s="26"/>
      <c r="PTW393" s="24"/>
      <c r="PTZ393" s="24"/>
      <c r="PUB393" s="25"/>
      <c r="PUC393" s="26"/>
      <c r="PUH393" s="24"/>
      <c r="PUK393" s="24"/>
      <c r="PUM393" s="25"/>
      <c r="PUN393" s="26"/>
      <c r="PUS393" s="24"/>
      <c r="PUV393" s="24"/>
      <c r="PUX393" s="25"/>
      <c r="PUY393" s="26"/>
      <c r="PVD393" s="24"/>
      <c r="PVG393" s="24"/>
      <c r="PVI393" s="25"/>
      <c r="PVJ393" s="26"/>
      <c r="PVO393" s="24"/>
      <c r="PVR393" s="24"/>
      <c r="PVT393" s="25"/>
      <c r="PVU393" s="26"/>
      <c r="PVZ393" s="24"/>
      <c r="PWC393" s="24"/>
      <c r="PWE393" s="25"/>
      <c r="PWF393" s="26"/>
      <c r="PWK393" s="24"/>
      <c r="PWN393" s="24"/>
      <c r="PWP393" s="25"/>
      <c r="PWQ393" s="26"/>
      <c r="PWV393" s="24"/>
      <c r="PWY393" s="24"/>
      <c r="PXA393" s="25"/>
      <c r="PXB393" s="26"/>
      <c r="PXG393" s="24"/>
      <c r="PXJ393" s="24"/>
      <c r="PXL393" s="25"/>
      <c r="PXM393" s="26"/>
      <c r="PXR393" s="24"/>
      <c r="PXU393" s="24"/>
      <c r="PXW393" s="25"/>
      <c r="PXX393" s="26"/>
      <c r="PYC393" s="24"/>
      <c r="PYF393" s="24"/>
      <c r="PYH393" s="25"/>
      <c r="PYI393" s="26"/>
      <c r="PYN393" s="24"/>
      <c r="PYQ393" s="24"/>
      <c r="PYS393" s="25"/>
      <c r="PYT393" s="26"/>
      <c r="PYY393" s="24"/>
      <c r="PZB393" s="24"/>
      <c r="PZD393" s="25"/>
      <c r="PZE393" s="26"/>
      <c r="PZJ393" s="24"/>
      <c r="PZM393" s="24"/>
      <c r="PZO393" s="25"/>
      <c r="PZP393" s="26"/>
      <c r="PZU393" s="24"/>
      <c r="PZX393" s="24"/>
      <c r="PZZ393" s="25"/>
      <c r="QAA393" s="26"/>
      <c r="QAF393" s="24"/>
      <c r="QAI393" s="24"/>
      <c r="QAK393" s="25"/>
      <c r="QAL393" s="26"/>
      <c r="QAQ393" s="24"/>
      <c r="QAT393" s="24"/>
      <c r="QAV393" s="25"/>
      <c r="QAW393" s="26"/>
      <c r="QBB393" s="24"/>
      <c r="QBE393" s="24"/>
      <c r="QBG393" s="25"/>
      <c r="QBH393" s="26"/>
      <c r="QBM393" s="24"/>
      <c r="QBP393" s="24"/>
      <c r="QBR393" s="25"/>
      <c r="QBS393" s="26"/>
      <c r="QBX393" s="24"/>
      <c r="QCA393" s="24"/>
      <c r="QCC393" s="25"/>
      <c r="QCD393" s="26"/>
      <c r="QCI393" s="24"/>
      <c r="QCL393" s="24"/>
      <c r="QCN393" s="25"/>
      <c r="QCO393" s="26"/>
      <c r="QCT393" s="24"/>
      <c r="QCW393" s="24"/>
      <c r="QCY393" s="25"/>
      <c r="QCZ393" s="26"/>
      <c r="QDE393" s="24"/>
      <c r="QDH393" s="24"/>
      <c r="QDJ393" s="25"/>
      <c r="QDK393" s="26"/>
      <c r="QDP393" s="24"/>
      <c r="QDS393" s="24"/>
      <c r="QDU393" s="25"/>
      <c r="QDV393" s="26"/>
      <c r="QEA393" s="24"/>
      <c r="QED393" s="24"/>
      <c r="QEF393" s="25"/>
      <c r="QEG393" s="26"/>
      <c r="QEL393" s="24"/>
      <c r="QEO393" s="24"/>
      <c r="QEQ393" s="25"/>
      <c r="QER393" s="26"/>
      <c r="QEW393" s="24"/>
      <c r="QEZ393" s="24"/>
      <c r="QFB393" s="25"/>
      <c r="QFC393" s="26"/>
      <c r="QFH393" s="24"/>
      <c r="QFK393" s="24"/>
      <c r="QFM393" s="25"/>
      <c r="QFN393" s="26"/>
      <c r="QFS393" s="24"/>
      <c r="QFV393" s="24"/>
      <c r="QFX393" s="25"/>
      <c r="QFY393" s="26"/>
      <c r="QGD393" s="24"/>
      <c r="QGG393" s="24"/>
      <c r="QGI393" s="25"/>
      <c r="QGJ393" s="26"/>
      <c r="QGO393" s="24"/>
      <c r="QGR393" s="24"/>
      <c r="QGT393" s="25"/>
      <c r="QGU393" s="26"/>
      <c r="QGZ393" s="24"/>
      <c r="QHC393" s="24"/>
      <c r="QHE393" s="25"/>
      <c r="QHF393" s="26"/>
      <c r="QHK393" s="24"/>
      <c r="QHN393" s="24"/>
      <c r="QHP393" s="25"/>
      <c r="QHQ393" s="26"/>
      <c r="QHV393" s="24"/>
      <c r="QHY393" s="24"/>
      <c r="QIA393" s="25"/>
      <c r="QIB393" s="26"/>
      <c r="QIG393" s="24"/>
      <c r="QIJ393" s="24"/>
      <c r="QIL393" s="25"/>
      <c r="QIM393" s="26"/>
      <c r="QIR393" s="24"/>
      <c r="QIU393" s="24"/>
      <c r="QIW393" s="25"/>
      <c r="QIX393" s="26"/>
      <c r="QJC393" s="24"/>
      <c r="QJF393" s="24"/>
      <c r="QJH393" s="25"/>
      <c r="QJI393" s="26"/>
      <c r="QJN393" s="24"/>
      <c r="QJQ393" s="24"/>
      <c r="QJS393" s="25"/>
      <c r="QJT393" s="26"/>
      <c r="QJY393" s="24"/>
      <c r="QKB393" s="24"/>
      <c r="QKD393" s="25"/>
      <c r="QKE393" s="26"/>
      <c r="QKJ393" s="24"/>
      <c r="QKM393" s="24"/>
      <c r="QKO393" s="25"/>
      <c r="QKP393" s="26"/>
      <c r="QKU393" s="24"/>
      <c r="QKX393" s="24"/>
      <c r="QKZ393" s="25"/>
      <c r="QLA393" s="26"/>
      <c r="QLF393" s="24"/>
      <c r="QLI393" s="24"/>
      <c r="QLK393" s="25"/>
      <c r="QLL393" s="26"/>
      <c r="QLQ393" s="24"/>
      <c r="QLT393" s="24"/>
      <c r="QLV393" s="25"/>
      <c r="QLW393" s="26"/>
      <c r="QMB393" s="24"/>
      <c r="QME393" s="24"/>
      <c r="QMG393" s="25"/>
      <c r="QMH393" s="26"/>
      <c r="QMM393" s="24"/>
      <c r="QMP393" s="24"/>
      <c r="QMR393" s="25"/>
      <c r="QMS393" s="26"/>
      <c r="QMX393" s="24"/>
      <c r="QNA393" s="24"/>
      <c r="QNC393" s="25"/>
      <c r="QND393" s="26"/>
      <c r="QNI393" s="24"/>
      <c r="QNL393" s="24"/>
      <c r="QNN393" s="25"/>
      <c r="QNO393" s="26"/>
      <c r="QNT393" s="24"/>
      <c r="QNW393" s="24"/>
      <c r="QNY393" s="25"/>
      <c r="QNZ393" s="26"/>
      <c r="QOE393" s="24"/>
      <c r="QOH393" s="24"/>
      <c r="QOJ393" s="25"/>
      <c r="QOK393" s="26"/>
      <c r="QOP393" s="24"/>
      <c r="QOS393" s="24"/>
      <c r="QOU393" s="25"/>
      <c r="QOV393" s="26"/>
      <c r="QPA393" s="24"/>
      <c r="QPD393" s="24"/>
      <c r="QPF393" s="25"/>
      <c r="QPG393" s="26"/>
      <c r="QPL393" s="24"/>
      <c r="QPO393" s="24"/>
      <c r="QPQ393" s="25"/>
      <c r="QPR393" s="26"/>
      <c r="QPW393" s="24"/>
      <c r="QPZ393" s="24"/>
      <c r="QQB393" s="25"/>
      <c r="QQC393" s="26"/>
      <c r="QQH393" s="24"/>
      <c r="QQK393" s="24"/>
      <c r="QQM393" s="25"/>
      <c r="QQN393" s="26"/>
      <c r="QQS393" s="24"/>
      <c r="QQV393" s="24"/>
      <c r="QQX393" s="25"/>
      <c r="QQY393" s="26"/>
      <c r="QRD393" s="24"/>
      <c r="QRG393" s="24"/>
      <c r="QRI393" s="25"/>
      <c r="QRJ393" s="26"/>
      <c r="QRO393" s="24"/>
      <c r="QRR393" s="24"/>
      <c r="QRT393" s="25"/>
      <c r="QRU393" s="26"/>
      <c r="QRZ393" s="24"/>
      <c r="QSC393" s="24"/>
      <c r="QSE393" s="25"/>
      <c r="QSF393" s="26"/>
      <c r="QSK393" s="24"/>
      <c r="QSN393" s="24"/>
      <c r="QSP393" s="25"/>
      <c r="QSQ393" s="26"/>
      <c r="QSV393" s="24"/>
      <c r="QSY393" s="24"/>
      <c r="QTA393" s="25"/>
      <c r="QTB393" s="26"/>
      <c r="QTG393" s="24"/>
      <c r="QTJ393" s="24"/>
      <c r="QTL393" s="25"/>
      <c r="QTM393" s="26"/>
      <c r="QTR393" s="24"/>
      <c r="QTU393" s="24"/>
      <c r="QTW393" s="25"/>
      <c r="QTX393" s="26"/>
      <c r="QUC393" s="24"/>
      <c r="QUF393" s="24"/>
      <c r="QUH393" s="25"/>
      <c r="QUI393" s="26"/>
      <c r="QUN393" s="24"/>
      <c r="QUQ393" s="24"/>
      <c r="QUS393" s="25"/>
      <c r="QUT393" s="26"/>
      <c r="QUY393" s="24"/>
      <c r="QVB393" s="24"/>
      <c r="QVD393" s="25"/>
      <c r="QVE393" s="26"/>
      <c r="QVJ393" s="24"/>
      <c r="QVM393" s="24"/>
      <c r="QVO393" s="25"/>
      <c r="QVP393" s="26"/>
      <c r="QVU393" s="24"/>
      <c r="QVX393" s="24"/>
      <c r="QVZ393" s="25"/>
      <c r="QWA393" s="26"/>
      <c r="QWF393" s="24"/>
      <c r="QWI393" s="24"/>
      <c r="QWK393" s="25"/>
      <c r="QWL393" s="26"/>
      <c r="QWQ393" s="24"/>
      <c r="QWT393" s="24"/>
      <c r="QWV393" s="25"/>
      <c r="QWW393" s="26"/>
      <c r="QXB393" s="24"/>
      <c r="QXE393" s="24"/>
      <c r="QXG393" s="25"/>
      <c r="QXH393" s="26"/>
      <c r="QXM393" s="24"/>
      <c r="QXP393" s="24"/>
      <c r="QXR393" s="25"/>
      <c r="QXS393" s="26"/>
      <c r="QXX393" s="24"/>
      <c r="QYA393" s="24"/>
      <c r="QYC393" s="25"/>
      <c r="QYD393" s="26"/>
      <c r="QYI393" s="24"/>
      <c r="QYL393" s="24"/>
      <c r="QYN393" s="25"/>
      <c r="QYO393" s="26"/>
      <c r="QYT393" s="24"/>
      <c r="QYW393" s="24"/>
      <c r="QYY393" s="25"/>
      <c r="QYZ393" s="26"/>
      <c r="QZE393" s="24"/>
      <c r="QZH393" s="24"/>
      <c r="QZJ393" s="25"/>
      <c r="QZK393" s="26"/>
      <c r="QZP393" s="24"/>
      <c r="QZS393" s="24"/>
      <c r="QZU393" s="25"/>
      <c r="QZV393" s="26"/>
      <c r="RAA393" s="24"/>
      <c r="RAD393" s="24"/>
      <c r="RAF393" s="25"/>
      <c r="RAG393" s="26"/>
      <c r="RAL393" s="24"/>
      <c r="RAO393" s="24"/>
      <c r="RAQ393" s="25"/>
      <c r="RAR393" s="26"/>
      <c r="RAW393" s="24"/>
      <c r="RAZ393" s="24"/>
      <c r="RBB393" s="25"/>
      <c r="RBC393" s="26"/>
      <c r="RBH393" s="24"/>
      <c r="RBK393" s="24"/>
      <c r="RBM393" s="25"/>
      <c r="RBN393" s="26"/>
      <c r="RBS393" s="24"/>
      <c r="RBV393" s="24"/>
      <c r="RBX393" s="25"/>
      <c r="RBY393" s="26"/>
      <c r="RCD393" s="24"/>
      <c r="RCG393" s="24"/>
      <c r="RCI393" s="25"/>
      <c r="RCJ393" s="26"/>
      <c r="RCO393" s="24"/>
      <c r="RCR393" s="24"/>
      <c r="RCT393" s="25"/>
      <c r="RCU393" s="26"/>
      <c r="RCZ393" s="24"/>
      <c r="RDC393" s="24"/>
      <c r="RDE393" s="25"/>
      <c r="RDF393" s="26"/>
      <c r="RDK393" s="24"/>
      <c r="RDN393" s="24"/>
      <c r="RDP393" s="25"/>
      <c r="RDQ393" s="26"/>
      <c r="RDV393" s="24"/>
      <c r="RDY393" s="24"/>
      <c r="REA393" s="25"/>
      <c r="REB393" s="26"/>
      <c r="REG393" s="24"/>
      <c r="REJ393" s="24"/>
      <c r="REL393" s="25"/>
      <c r="REM393" s="26"/>
      <c r="RER393" s="24"/>
      <c r="REU393" s="24"/>
      <c r="REW393" s="25"/>
      <c r="REX393" s="26"/>
      <c r="RFC393" s="24"/>
      <c r="RFF393" s="24"/>
      <c r="RFH393" s="25"/>
      <c r="RFI393" s="26"/>
      <c r="RFN393" s="24"/>
      <c r="RFQ393" s="24"/>
      <c r="RFS393" s="25"/>
      <c r="RFT393" s="26"/>
      <c r="RFY393" s="24"/>
      <c r="RGB393" s="24"/>
      <c r="RGD393" s="25"/>
      <c r="RGE393" s="26"/>
      <c r="RGJ393" s="24"/>
      <c r="RGM393" s="24"/>
      <c r="RGO393" s="25"/>
      <c r="RGP393" s="26"/>
      <c r="RGU393" s="24"/>
      <c r="RGX393" s="24"/>
      <c r="RGZ393" s="25"/>
      <c r="RHA393" s="26"/>
      <c r="RHF393" s="24"/>
      <c r="RHI393" s="24"/>
      <c r="RHK393" s="25"/>
      <c r="RHL393" s="26"/>
      <c r="RHQ393" s="24"/>
      <c r="RHT393" s="24"/>
      <c r="RHV393" s="25"/>
      <c r="RHW393" s="26"/>
      <c r="RIB393" s="24"/>
      <c r="RIE393" s="24"/>
      <c r="RIG393" s="25"/>
      <c r="RIH393" s="26"/>
      <c r="RIM393" s="24"/>
      <c r="RIP393" s="24"/>
      <c r="RIR393" s="25"/>
      <c r="RIS393" s="26"/>
      <c r="RIX393" s="24"/>
      <c r="RJA393" s="24"/>
      <c r="RJC393" s="25"/>
      <c r="RJD393" s="26"/>
      <c r="RJI393" s="24"/>
      <c r="RJL393" s="24"/>
      <c r="RJN393" s="25"/>
      <c r="RJO393" s="26"/>
      <c r="RJT393" s="24"/>
      <c r="RJW393" s="24"/>
      <c r="RJY393" s="25"/>
      <c r="RJZ393" s="26"/>
      <c r="RKE393" s="24"/>
      <c r="RKH393" s="24"/>
      <c r="RKJ393" s="25"/>
      <c r="RKK393" s="26"/>
      <c r="RKP393" s="24"/>
      <c r="RKS393" s="24"/>
      <c r="RKU393" s="25"/>
      <c r="RKV393" s="26"/>
      <c r="RLA393" s="24"/>
      <c r="RLD393" s="24"/>
      <c r="RLF393" s="25"/>
      <c r="RLG393" s="26"/>
      <c r="RLL393" s="24"/>
      <c r="RLO393" s="24"/>
      <c r="RLQ393" s="25"/>
      <c r="RLR393" s="26"/>
      <c r="RLW393" s="24"/>
      <c r="RLZ393" s="24"/>
      <c r="RMB393" s="25"/>
      <c r="RMC393" s="26"/>
      <c r="RMH393" s="24"/>
      <c r="RMK393" s="24"/>
      <c r="RMM393" s="25"/>
      <c r="RMN393" s="26"/>
      <c r="RMS393" s="24"/>
      <c r="RMV393" s="24"/>
      <c r="RMX393" s="25"/>
      <c r="RMY393" s="26"/>
      <c r="RND393" s="24"/>
      <c r="RNG393" s="24"/>
      <c r="RNI393" s="25"/>
      <c r="RNJ393" s="26"/>
      <c r="RNO393" s="24"/>
      <c r="RNR393" s="24"/>
      <c r="RNT393" s="25"/>
      <c r="RNU393" s="26"/>
      <c r="RNZ393" s="24"/>
      <c r="ROC393" s="24"/>
      <c r="ROE393" s="25"/>
      <c r="ROF393" s="26"/>
      <c r="ROK393" s="24"/>
      <c r="RON393" s="24"/>
      <c r="ROP393" s="25"/>
      <c r="ROQ393" s="26"/>
      <c r="ROV393" s="24"/>
      <c r="ROY393" s="24"/>
      <c r="RPA393" s="25"/>
      <c r="RPB393" s="26"/>
      <c r="RPG393" s="24"/>
      <c r="RPJ393" s="24"/>
      <c r="RPL393" s="25"/>
      <c r="RPM393" s="26"/>
      <c r="RPR393" s="24"/>
      <c r="RPU393" s="24"/>
      <c r="RPW393" s="25"/>
      <c r="RPX393" s="26"/>
      <c r="RQC393" s="24"/>
      <c r="RQF393" s="24"/>
      <c r="RQH393" s="25"/>
      <c r="RQI393" s="26"/>
      <c r="RQN393" s="24"/>
      <c r="RQQ393" s="24"/>
      <c r="RQS393" s="25"/>
      <c r="RQT393" s="26"/>
      <c r="RQY393" s="24"/>
      <c r="RRB393" s="24"/>
      <c r="RRD393" s="25"/>
      <c r="RRE393" s="26"/>
      <c r="RRJ393" s="24"/>
      <c r="RRM393" s="24"/>
      <c r="RRO393" s="25"/>
      <c r="RRP393" s="26"/>
      <c r="RRU393" s="24"/>
      <c r="RRX393" s="24"/>
      <c r="RRZ393" s="25"/>
      <c r="RSA393" s="26"/>
      <c r="RSF393" s="24"/>
      <c r="RSI393" s="24"/>
      <c r="RSK393" s="25"/>
      <c r="RSL393" s="26"/>
      <c r="RSQ393" s="24"/>
      <c r="RST393" s="24"/>
      <c r="RSV393" s="25"/>
      <c r="RSW393" s="26"/>
      <c r="RTB393" s="24"/>
      <c r="RTE393" s="24"/>
      <c r="RTG393" s="25"/>
      <c r="RTH393" s="26"/>
      <c r="RTM393" s="24"/>
      <c r="RTP393" s="24"/>
      <c r="RTR393" s="25"/>
      <c r="RTS393" s="26"/>
      <c r="RTX393" s="24"/>
      <c r="RUA393" s="24"/>
      <c r="RUC393" s="25"/>
      <c r="RUD393" s="26"/>
      <c r="RUI393" s="24"/>
      <c r="RUL393" s="24"/>
      <c r="RUN393" s="25"/>
      <c r="RUO393" s="26"/>
      <c r="RUT393" s="24"/>
      <c r="RUW393" s="24"/>
      <c r="RUY393" s="25"/>
      <c r="RUZ393" s="26"/>
      <c r="RVE393" s="24"/>
      <c r="RVH393" s="24"/>
      <c r="RVJ393" s="25"/>
      <c r="RVK393" s="26"/>
      <c r="RVP393" s="24"/>
      <c r="RVS393" s="24"/>
      <c r="RVU393" s="25"/>
      <c r="RVV393" s="26"/>
      <c r="RWA393" s="24"/>
      <c r="RWD393" s="24"/>
      <c r="RWF393" s="25"/>
      <c r="RWG393" s="26"/>
      <c r="RWL393" s="24"/>
      <c r="RWO393" s="24"/>
      <c r="RWQ393" s="25"/>
      <c r="RWR393" s="26"/>
      <c r="RWW393" s="24"/>
      <c r="RWZ393" s="24"/>
      <c r="RXB393" s="25"/>
      <c r="RXC393" s="26"/>
      <c r="RXH393" s="24"/>
      <c r="RXK393" s="24"/>
      <c r="RXM393" s="25"/>
      <c r="RXN393" s="26"/>
      <c r="RXS393" s="24"/>
      <c r="RXV393" s="24"/>
      <c r="RXX393" s="25"/>
      <c r="RXY393" s="26"/>
      <c r="RYD393" s="24"/>
      <c r="RYG393" s="24"/>
      <c r="RYI393" s="25"/>
      <c r="RYJ393" s="26"/>
      <c r="RYO393" s="24"/>
      <c r="RYR393" s="24"/>
      <c r="RYT393" s="25"/>
      <c r="RYU393" s="26"/>
      <c r="RYZ393" s="24"/>
      <c r="RZC393" s="24"/>
      <c r="RZE393" s="25"/>
      <c r="RZF393" s="26"/>
      <c r="RZK393" s="24"/>
      <c r="RZN393" s="24"/>
      <c r="RZP393" s="25"/>
      <c r="RZQ393" s="26"/>
      <c r="RZV393" s="24"/>
      <c r="RZY393" s="24"/>
      <c r="SAA393" s="25"/>
      <c r="SAB393" s="26"/>
      <c r="SAG393" s="24"/>
      <c r="SAJ393" s="24"/>
      <c r="SAL393" s="25"/>
      <c r="SAM393" s="26"/>
      <c r="SAR393" s="24"/>
      <c r="SAU393" s="24"/>
      <c r="SAW393" s="25"/>
      <c r="SAX393" s="26"/>
      <c r="SBC393" s="24"/>
      <c r="SBF393" s="24"/>
      <c r="SBH393" s="25"/>
      <c r="SBI393" s="26"/>
      <c r="SBN393" s="24"/>
      <c r="SBQ393" s="24"/>
      <c r="SBS393" s="25"/>
      <c r="SBT393" s="26"/>
      <c r="SBY393" s="24"/>
      <c r="SCB393" s="24"/>
      <c r="SCD393" s="25"/>
      <c r="SCE393" s="26"/>
      <c r="SCJ393" s="24"/>
      <c r="SCM393" s="24"/>
      <c r="SCO393" s="25"/>
      <c r="SCP393" s="26"/>
      <c r="SCU393" s="24"/>
      <c r="SCX393" s="24"/>
      <c r="SCZ393" s="25"/>
      <c r="SDA393" s="26"/>
      <c r="SDF393" s="24"/>
      <c r="SDI393" s="24"/>
      <c r="SDK393" s="25"/>
      <c r="SDL393" s="26"/>
      <c r="SDQ393" s="24"/>
      <c r="SDT393" s="24"/>
      <c r="SDV393" s="25"/>
      <c r="SDW393" s="26"/>
      <c r="SEB393" s="24"/>
      <c r="SEE393" s="24"/>
      <c r="SEG393" s="25"/>
      <c r="SEH393" s="26"/>
      <c r="SEM393" s="24"/>
      <c r="SEP393" s="24"/>
      <c r="SER393" s="25"/>
      <c r="SES393" s="26"/>
      <c r="SEX393" s="24"/>
      <c r="SFA393" s="24"/>
      <c r="SFC393" s="25"/>
      <c r="SFD393" s="26"/>
      <c r="SFI393" s="24"/>
      <c r="SFL393" s="24"/>
      <c r="SFN393" s="25"/>
      <c r="SFO393" s="26"/>
      <c r="SFT393" s="24"/>
      <c r="SFW393" s="24"/>
      <c r="SFY393" s="25"/>
      <c r="SFZ393" s="26"/>
      <c r="SGE393" s="24"/>
      <c r="SGH393" s="24"/>
      <c r="SGJ393" s="25"/>
      <c r="SGK393" s="26"/>
      <c r="SGP393" s="24"/>
      <c r="SGS393" s="24"/>
      <c r="SGU393" s="25"/>
      <c r="SGV393" s="26"/>
      <c r="SHA393" s="24"/>
      <c r="SHD393" s="24"/>
      <c r="SHF393" s="25"/>
      <c r="SHG393" s="26"/>
      <c r="SHL393" s="24"/>
      <c r="SHO393" s="24"/>
      <c r="SHQ393" s="25"/>
      <c r="SHR393" s="26"/>
      <c r="SHW393" s="24"/>
      <c r="SHZ393" s="24"/>
      <c r="SIB393" s="25"/>
      <c r="SIC393" s="26"/>
      <c r="SIH393" s="24"/>
      <c r="SIK393" s="24"/>
      <c r="SIM393" s="25"/>
      <c r="SIN393" s="26"/>
      <c r="SIS393" s="24"/>
      <c r="SIV393" s="24"/>
      <c r="SIX393" s="25"/>
      <c r="SIY393" s="26"/>
      <c r="SJD393" s="24"/>
      <c r="SJG393" s="24"/>
      <c r="SJI393" s="25"/>
      <c r="SJJ393" s="26"/>
      <c r="SJO393" s="24"/>
      <c r="SJR393" s="24"/>
      <c r="SJT393" s="25"/>
      <c r="SJU393" s="26"/>
      <c r="SJZ393" s="24"/>
      <c r="SKC393" s="24"/>
      <c r="SKE393" s="25"/>
      <c r="SKF393" s="26"/>
      <c r="SKK393" s="24"/>
      <c r="SKN393" s="24"/>
      <c r="SKP393" s="25"/>
      <c r="SKQ393" s="26"/>
      <c r="SKV393" s="24"/>
      <c r="SKY393" s="24"/>
      <c r="SLA393" s="25"/>
      <c r="SLB393" s="26"/>
      <c r="SLG393" s="24"/>
      <c r="SLJ393" s="24"/>
      <c r="SLL393" s="25"/>
      <c r="SLM393" s="26"/>
      <c r="SLR393" s="24"/>
      <c r="SLU393" s="24"/>
      <c r="SLW393" s="25"/>
      <c r="SLX393" s="26"/>
      <c r="SMC393" s="24"/>
      <c r="SMF393" s="24"/>
      <c r="SMH393" s="25"/>
      <c r="SMI393" s="26"/>
      <c r="SMN393" s="24"/>
      <c r="SMQ393" s="24"/>
      <c r="SMS393" s="25"/>
      <c r="SMT393" s="26"/>
      <c r="SMY393" s="24"/>
      <c r="SNB393" s="24"/>
      <c r="SND393" s="25"/>
      <c r="SNE393" s="26"/>
      <c r="SNJ393" s="24"/>
      <c r="SNM393" s="24"/>
      <c r="SNO393" s="25"/>
      <c r="SNP393" s="26"/>
      <c r="SNU393" s="24"/>
      <c r="SNX393" s="24"/>
      <c r="SNZ393" s="25"/>
      <c r="SOA393" s="26"/>
      <c r="SOF393" s="24"/>
      <c r="SOI393" s="24"/>
      <c r="SOK393" s="25"/>
      <c r="SOL393" s="26"/>
      <c r="SOQ393" s="24"/>
      <c r="SOT393" s="24"/>
      <c r="SOV393" s="25"/>
      <c r="SOW393" s="26"/>
      <c r="SPB393" s="24"/>
      <c r="SPE393" s="24"/>
      <c r="SPG393" s="25"/>
      <c r="SPH393" s="26"/>
      <c r="SPM393" s="24"/>
      <c r="SPP393" s="24"/>
      <c r="SPR393" s="25"/>
      <c r="SPS393" s="26"/>
      <c r="SPX393" s="24"/>
      <c r="SQA393" s="24"/>
      <c r="SQC393" s="25"/>
      <c r="SQD393" s="26"/>
      <c r="SQI393" s="24"/>
      <c r="SQL393" s="24"/>
      <c r="SQN393" s="25"/>
      <c r="SQO393" s="26"/>
      <c r="SQT393" s="24"/>
      <c r="SQW393" s="24"/>
      <c r="SQY393" s="25"/>
      <c r="SQZ393" s="26"/>
      <c r="SRE393" s="24"/>
      <c r="SRH393" s="24"/>
      <c r="SRJ393" s="25"/>
      <c r="SRK393" s="26"/>
      <c r="SRP393" s="24"/>
      <c r="SRS393" s="24"/>
      <c r="SRU393" s="25"/>
      <c r="SRV393" s="26"/>
      <c r="SSA393" s="24"/>
      <c r="SSD393" s="24"/>
      <c r="SSF393" s="25"/>
      <c r="SSG393" s="26"/>
      <c r="SSL393" s="24"/>
      <c r="SSO393" s="24"/>
      <c r="SSQ393" s="25"/>
      <c r="SSR393" s="26"/>
      <c r="SSW393" s="24"/>
      <c r="SSZ393" s="24"/>
      <c r="STB393" s="25"/>
      <c r="STC393" s="26"/>
      <c r="STH393" s="24"/>
      <c r="STK393" s="24"/>
      <c r="STM393" s="25"/>
      <c r="STN393" s="26"/>
      <c r="STS393" s="24"/>
      <c r="STV393" s="24"/>
      <c r="STX393" s="25"/>
      <c r="STY393" s="26"/>
      <c r="SUD393" s="24"/>
      <c r="SUG393" s="24"/>
      <c r="SUI393" s="25"/>
      <c r="SUJ393" s="26"/>
      <c r="SUO393" s="24"/>
      <c r="SUR393" s="24"/>
      <c r="SUT393" s="25"/>
      <c r="SUU393" s="26"/>
      <c r="SUZ393" s="24"/>
      <c r="SVC393" s="24"/>
      <c r="SVE393" s="25"/>
      <c r="SVF393" s="26"/>
      <c r="SVK393" s="24"/>
      <c r="SVN393" s="24"/>
      <c r="SVP393" s="25"/>
      <c r="SVQ393" s="26"/>
      <c r="SVV393" s="24"/>
      <c r="SVY393" s="24"/>
      <c r="SWA393" s="25"/>
      <c r="SWB393" s="26"/>
      <c r="SWG393" s="24"/>
      <c r="SWJ393" s="24"/>
      <c r="SWL393" s="25"/>
      <c r="SWM393" s="26"/>
      <c r="SWR393" s="24"/>
      <c r="SWU393" s="24"/>
      <c r="SWW393" s="25"/>
      <c r="SWX393" s="26"/>
      <c r="SXC393" s="24"/>
      <c r="SXF393" s="24"/>
      <c r="SXH393" s="25"/>
      <c r="SXI393" s="26"/>
      <c r="SXN393" s="24"/>
      <c r="SXQ393" s="24"/>
      <c r="SXS393" s="25"/>
      <c r="SXT393" s="26"/>
      <c r="SXY393" s="24"/>
      <c r="SYB393" s="24"/>
      <c r="SYD393" s="25"/>
      <c r="SYE393" s="26"/>
      <c r="SYJ393" s="24"/>
      <c r="SYM393" s="24"/>
      <c r="SYO393" s="25"/>
      <c r="SYP393" s="26"/>
      <c r="SYU393" s="24"/>
      <c r="SYX393" s="24"/>
      <c r="SYZ393" s="25"/>
      <c r="SZA393" s="26"/>
      <c r="SZF393" s="24"/>
      <c r="SZI393" s="24"/>
      <c r="SZK393" s="25"/>
      <c r="SZL393" s="26"/>
      <c r="SZQ393" s="24"/>
      <c r="SZT393" s="24"/>
      <c r="SZV393" s="25"/>
      <c r="SZW393" s="26"/>
      <c r="TAB393" s="24"/>
      <c r="TAE393" s="24"/>
      <c r="TAG393" s="25"/>
      <c r="TAH393" s="26"/>
      <c r="TAM393" s="24"/>
      <c r="TAP393" s="24"/>
      <c r="TAR393" s="25"/>
      <c r="TAS393" s="26"/>
      <c r="TAX393" s="24"/>
      <c r="TBA393" s="24"/>
      <c r="TBC393" s="25"/>
      <c r="TBD393" s="26"/>
      <c r="TBI393" s="24"/>
      <c r="TBL393" s="24"/>
      <c r="TBN393" s="25"/>
      <c r="TBO393" s="26"/>
      <c r="TBT393" s="24"/>
      <c r="TBW393" s="24"/>
      <c r="TBY393" s="25"/>
      <c r="TBZ393" s="26"/>
      <c r="TCE393" s="24"/>
      <c r="TCH393" s="24"/>
      <c r="TCJ393" s="25"/>
      <c r="TCK393" s="26"/>
      <c r="TCP393" s="24"/>
      <c r="TCS393" s="24"/>
      <c r="TCU393" s="25"/>
      <c r="TCV393" s="26"/>
      <c r="TDA393" s="24"/>
      <c r="TDD393" s="24"/>
      <c r="TDF393" s="25"/>
      <c r="TDG393" s="26"/>
      <c r="TDL393" s="24"/>
      <c r="TDO393" s="24"/>
      <c r="TDQ393" s="25"/>
      <c r="TDR393" s="26"/>
      <c r="TDW393" s="24"/>
      <c r="TDZ393" s="24"/>
      <c r="TEB393" s="25"/>
      <c r="TEC393" s="26"/>
      <c r="TEH393" s="24"/>
      <c r="TEK393" s="24"/>
      <c r="TEM393" s="25"/>
      <c r="TEN393" s="26"/>
      <c r="TES393" s="24"/>
      <c r="TEV393" s="24"/>
      <c r="TEX393" s="25"/>
      <c r="TEY393" s="26"/>
      <c r="TFD393" s="24"/>
      <c r="TFG393" s="24"/>
      <c r="TFI393" s="25"/>
      <c r="TFJ393" s="26"/>
      <c r="TFO393" s="24"/>
      <c r="TFR393" s="24"/>
      <c r="TFT393" s="25"/>
      <c r="TFU393" s="26"/>
      <c r="TFZ393" s="24"/>
      <c r="TGC393" s="24"/>
      <c r="TGE393" s="25"/>
      <c r="TGF393" s="26"/>
      <c r="TGK393" s="24"/>
      <c r="TGN393" s="24"/>
      <c r="TGP393" s="25"/>
      <c r="TGQ393" s="26"/>
      <c r="TGV393" s="24"/>
      <c r="TGY393" s="24"/>
      <c r="THA393" s="25"/>
      <c r="THB393" s="26"/>
      <c r="THG393" s="24"/>
      <c r="THJ393" s="24"/>
      <c r="THL393" s="25"/>
      <c r="THM393" s="26"/>
      <c r="THR393" s="24"/>
      <c r="THU393" s="24"/>
      <c r="THW393" s="25"/>
      <c r="THX393" s="26"/>
      <c r="TIC393" s="24"/>
      <c r="TIF393" s="24"/>
      <c r="TIH393" s="25"/>
      <c r="TII393" s="26"/>
      <c r="TIN393" s="24"/>
      <c r="TIQ393" s="24"/>
      <c r="TIS393" s="25"/>
      <c r="TIT393" s="26"/>
      <c r="TIY393" s="24"/>
      <c r="TJB393" s="24"/>
      <c r="TJD393" s="25"/>
      <c r="TJE393" s="26"/>
      <c r="TJJ393" s="24"/>
      <c r="TJM393" s="24"/>
      <c r="TJO393" s="25"/>
      <c r="TJP393" s="26"/>
      <c r="TJU393" s="24"/>
      <c r="TJX393" s="24"/>
      <c r="TJZ393" s="25"/>
      <c r="TKA393" s="26"/>
      <c r="TKF393" s="24"/>
      <c r="TKI393" s="24"/>
      <c r="TKK393" s="25"/>
      <c r="TKL393" s="26"/>
      <c r="TKQ393" s="24"/>
      <c r="TKT393" s="24"/>
      <c r="TKV393" s="25"/>
      <c r="TKW393" s="26"/>
      <c r="TLB393" s="24"/>
      <c r="TLE393" s="24"/>
      <c r="TLG393" s="25"/>
      <c r="TLH393" s="26"/>
      <c r="TLM393" s="24"/>
      <c r="TLP393" s="24"/>
      <c r="TLR393" s="25"/>
      <c r="TLS393" s="26"/>
      <c r="TLX393" s="24"/>
      <c r="TMA393" s="24"/>
      <c r="TMC393" s="25"/>
      <c r="TMD393" s="26"/>
      <c r="TMI393" s="24"/>
      <c r="TML393" s="24"/>
      <c r="TMN393" s="25"/>
      <c r="TMO393" s="26"/>
      <c r="TMT393" s="24"/>
      <c r="TMW393" s="24"/>
      <c r="TMY393" s="25"/>
      <c r="TMZ393" s="26"/>
      <c r="TNE393" s="24"/>
      <c r="TNH393" s="24"/>
      <c r="TNJ393" s="25"/>
      <c r="TNK393" s="26"/>
      <c r="TNP393" s="24"/>
      <c r="TNS393" s="24"/>
      <c r="TNU393" s="25"/>
      <c r="TNV393" s="26"/>
      <c r="TOA393" s="24"/>
      <c r="TOD393" s="24"/>
      <c r="TOF393" s="25"/>
      <c r="TOG393" s="26"/>
      <c r="TOL393" s="24"/>
      <c r="TOO393" s="24"/>
      <c r="TOQ393" s="25"/>
      <c r="TOR393" s="26"/>
      <c r="TOW393" s="24"/>
      <c r="TOZ393" s="24"/>
      <c r="TPB393" s="25"/>
      <c r="TPC393" s="26"/>
      <c r="TPH393" s="24"/>
      <c r="TPK393" s="24"/>
      <c r="TPM393" s="25"/>
      <c r="TPN393" s="26"/>
      <c r="TPS393" s="24"/>
      <c r="TPV393" s="24"/>
      <c r="TPX393" s="25"/>
      <c r="TPY393" s="26"/>
      <c r="TQD393" s="24"/>
      <c r="TQG393" s="24"/>
      <c r="TQI393" s="25"/>
      <c r="TQJ393" s="26"/>
      <c r="TQO393" s="24"/>
      <c r="TQR393" s="24"/>
      <c r="TQT393" s="25"/>
      <c r="TQU393" s="26"/>
      <c r="TQZ393" s="24"/>
      <c r="TRC393" s="24"/>
      <c r="TRE393" s="25"/>
      <c r="TRF393" s="26"/>
      <c r="TRK393" s="24"/>
      <c r="TRN393" s="24"/>
      <c r="TRP393" s="25"/>
      <c r="TRQ393" s="26"/>
      <c r="TRV393" s="24"/>
      <c r="TRY393" s="24"/>
      <c r="TSA393" s="25"/>
      <c r="TSB393" s="26"/>
      <c r="TSG393" s="24"/>
      <c r="TSJ393" s="24"/>
      <c r="TSL393" s="25"/>
      <c r="TSM393" s="26"/>
      <c r="TSR393" s="24"/>
      <c r="TSU393" s="24"/>
      <c r="TSW393" s="25"/>
      <c r="TSX393" s="26"/>
      <c r="TTC393" s="24"/>
      <c r="TTF393" s="24"/>
      <c r="TTH393" s="25"/>
      <c r="TTI393" s="26"/>
      <c r="TTN393" s="24"/>
      <c r="TTQ393" s="24"/>
      <c r="TTS393" s="25"/>
      <c r="TTT393" s="26"/>
      <c r="TTY393" s="24"/>
      <c r="TUB393" s="24"/>
      <c r="TUD393" s="25"/>
      <c r="TUE393" s="26"/>
      <c r="TUJ393" s="24"/>
      <c r="TUM393" s="24"/>
      <c r="TUO393" s="25"/>
      <c r="TUP393" s="26"/>
      <c r="TUU393" s="24"/>
      <c r="TUX393" s="24"/>
      <c r="TUZ393" s="25"/>
      <c r="TVA393" s="26"/>
      <c r="TVF393" s="24"/>
      <c r="TVI393" s="24"/>
      <c r="TVK393" s="25"/>
      <c r="TVL393" s="26"/>
      <c r="TVQ393" s="24"/>
      <c r="TVT393" s="24"/>
      <c r="TVV393" s="25"/>
      <c r="TVW393" s="26"/>
      <c r="TWB393" s="24"/>
      <c r="TWE393" s="24"/>
      <c r="TWG393" s="25"/>
      <c r="TWH393" s="26"/>
      <c r="TWM393" s="24"/>
      <c r="TWP393" s="24"/>
      <c r="TWR393" s="25"/>
      <c r="TWS393" s="26"/>
      <c r="TWX393" s="24"/>
      <c r="TXA393" s="24"/>
      <c r="TXC393" s="25"/>
      <c r="TXD393" s="26"/>
      <c r="TXI393" s="24"/>
      <c r="TXL393" s="24"/>
      <c r="TXN393" s="25"/>
      <c r="TXO393" s="26"/>
      <c r="TXT393" s="24"/>
      <c r="TXW393" s="24"/>
      <c r="TXY393" s="25"/>
      <c r="TXZ393" s="26"/>
      <c r="TYE393" s="24"/>
      <c r="TYH393" s="24"/>
      <c r="TYJ393" s="25"/>
      <c r="TYK393" s="26"/>
      <c r="TYP393" s="24"/>
      <c r="TYS393" s="24"/>
      <c r="TYU393" s="25"/>
      <c r="TYV393" s="26"/>
      <c r="TZA393" s="24"/>
      <c r="TZD393" s="24"/>
      <c r="TZF393" s="25"/>
      <c r="TZG393" s="26"/>
      <c r="TZL393" s="24"/>
      <c r="TZO393" s="24"/>
      <c r="TZQ393" s="25"/>
      <c r="TZR393" s="26"/>
      <c r="TZW393" s="24"/>
      <c r="TZZ393" s="24"/>
      <c r="UAB393" s="25"/>
      <c r="UAC393" s="26"/>
      <c r="UAH393" s="24"/>
      <c r="UAK393" s="24"/>
      <c r="UAM393" s="25"/>
      <c r="UAN393" s="26"/>
      <c r="UAS393" s="24"/>
      <c r="UAV393" s="24"/>
      <c r="UAX393" s="25"/>
      <c r="UAY393" s="26"/>
      <c r="UBD393" s="24"/>
      <c r="UBG393" s="24"/>
      <c r="UBI393" s="25"/>
      <c r="UBJ393" s="26"/>
      <c r="UBO393" s="24"/>
      <c r="UBR393" s="24"/>
      <c r="UBT393" s="25"/>
      <c r="UBU393" s="26"/>
      <c r="UBZ393" s="24"/>
      <c r="UCC393" s="24"/>
      <c r="UCE393" s="25"/>
      <c r="UCF393" s="26"/>
      <c r="UCK393" s="24"/>
      <c r="UCN393" s="24"/>
      <c r="UCP393" s="25"/>
      <c r="UCQ393" s="26"/>
      <c r="UCV393" s="24"/>
      <c r="UCY393" s="24"/>
      <c r="UDA393" s="25"/>
      <c r="UDB393" s="26"/>
      <c r="UDG393" s="24"/>
      <c r="UDJ393" s="24"/>
      <c r="UDL393" s="25"/>
      <c r="UDM393" s="26"/>
      <c r="UDR393" s="24"/>
      <c r="UDU393" s="24"/>
      <c r="UDW393" s="25"/>
      <c r="UDX393" s="26"/>
      <c r="UEC393" s="24"/>
      <c r="UEF393" s="24"/>
      <c r="UEH393" s="25"/>
      <c r="UEI393" s="26"/>
      <c r="UEN393" s="24"/>
      <c r="UEQ393" s="24"/>
      <c r="UES393" s="25"/>
      <c r="UET393" s="26"/>
      <c r="UEY393" s="24"/>
      <c r="UFB393" s="24"/>
      <c r="UFD393" s="25"/>
      <c r="UFE393" s="26"/>
      <c r="UFJ393" s="24"/>
      <c r="UFM393" s="24"/>
      <c r="UFO393" s="25"/>
      <c r="UFP393" s="26"/>
      <c r="UFU393" s="24"/>
      <c r="UFX393" s="24"/>
      <c r="UFZ393" s="25"/>
      <c r="UGA393" s="26"/>
      <c r="UGF393" s="24"/>
      <c r="UGI393" s="24"/>
      <c r="UGK393" s="25"/>
      <c r="UGL393" s="26"/>
      <c r="UGQ393" s="24"/>
      <c r="UGT393" s="24"/>
      <c r="UGV393" s="25"/>
      <c r="UGW393" s="26"/>
      <c r="UHB393" s="24"/>
      <c r="UHE393" s="24"/>
      <c r="UHG393" s="25"/>
      <c r="UHH393" s="26"/>
      <c r="UHM393" s="24"/>
      <c r="UHP393" s="24"/>
      <c r="UHR393" s="25"/>
      <c r="UHS393" s="26"/>
      <c r="UHX393" s="24"/>
      <c r="UIA393" s="24"/>
      <c r="UIC393" s="25"/>
      <c r="UID393" s="26"/>
      <c r="UII393" s="24"/>
      <c r="UIL393" s="24"/>
      <c r="UIN393" s="25"/>
      <c r="UIO393" s="26"/>
      <c r="UIT393" s="24"/>
      <c r="UIW393" s="24"/>
      <c r="UIY393" s="25"/>
      <c r="UIZ393" s="26"/>
      <c r="UJE393" s="24"/>
      <c r="UJH393" s="24"/>
      <c r="UJJ393" s="25"/>
      <c r="UJK393" s="26"/>
      <c r="UJP393" s="24"/>
      <c r="UJS393" s="24"/>
      <c r="UJU393" s="25"/>
      <c r="UJV393" s="26"/>
      <c r="UKA393" s="24"/>
      <c r="UKD393" s="24"/>
      <c r="UKF393" s="25"/>
      <c r="UKG393" s="26"/>
      <c r="UKL393" s="24"/>
      <c r="UKO393" s="24"/>
      <c r="UKQ393" s="25"/>
      <c r="UKR393" s="26"/>
      <c r="UKW393" s="24"/>
      <c r="UKZ393" s="24"/>
      <c r="ULB393" s="25"/>
      <c r="ULC393" s="26"/>
      <c r="ULH393" s="24"/>
      <c r="ULK393" s="24"/>
      <c r="ULM393" s="25"/>
      <c r="ULN393" s="26"/>
      <c r="ULS393" s="24"/>
      <c r="ULV393" s="24"/>
      <c r="ULX393" s="25"/>
      <c r="ULY393" s="26"/>
      <c r="UMD393" s="24"/>
      <c r="UMG393" s="24"/>
      <c r="UMI393" s="25"/>
      <c r="UMJ393" s="26"/>
      <c r="UMO393" s="24"/>
      <c r="UMR393" s="24"/>
      <c r="UMT393" s="25"/>
      <c r="UMU393" s="26"/>
      <c r="UMZ393" s="24"/>
      <c r="UNC393" s="24"/>
      <c r="UNE393" s="25"/>
      <c r="UNF393" s="26"/>
      <c r="UNK393" s="24"/>
      <c r="UNN393" s="24"/>
      <c r="UNP393" s="25"/>
      <c r="UNQ393" s="26"/>
      <c r="UNV393" s="24"/>
      <c r="UNY393" s="24"/>
      <c r="UOA393" s="25"/>
      <c r="UOB393" s="26"/>
      <c r="UOG393" s="24"/>
      <c r="UOJ393" s="24"/>
      <c r="UOL393" s="25"/>
      <c r="UOM393" s="26"/>
      <c r="UOR393" s="24"/>
      <c r="UOU393" s="24"/>
      <c r="UOW393" s="25"/>
      <c r="UOX393" s="26"/>
      <c r="UPC393" s="24"/>
      <c r="UPF393" s="24"/>
      <c r="UPH393" s="25"/>
      <c r="UPI393" s="26"/>
      <c r="UPN393" s="24"/>
      <c r="UPQ393" s="24"/>
      <c r="UPS393" s="25"/>
      <c r="UPT393" s="26"/>
      <c r="UPY393" s="24"/>
      <c r="UQB393" s="24"/>
      <c r="UQD393" s="25"/>
      <c r="UQE393" s="26"/>
      <c r="UQJ393" s="24"/>
      <c r="UQM393" s="24"/>
      <c r="UQO393" s="25"/>
      <c r="UQP393" s="26"/>
      <c r="UQU393" s="24"/>
      <c r="UQX393" s="24"/>
      <c r="UQZ393" s="25"/>
      <c r="URA393" s="26"/>
      <c r="URF393" s="24"/>
      <c r="URI393" s="24"/>
      <c r="URK393" s="25"/>
      <c r="URL393" s="26"/>
      <c r="URQ393" s="24"/>
      <c r="URT393" s="24"/>
      <c r="URV393" s="25"/>
      <c r="URW393" s="26"/>
      <c r="USB393" s="24"/>
      <c r="USE393" s="24"/>
      <c r="USG393" s="25"/>
      <c r="USH393" s="26"/>
      <c r="USM393" s="24"/>
      <c r="USP393" s="24"/>
      <c r="USR393" s="25"/>
      <c r="USS393" s="26"/>
      <c r="USX393" s="24"/>
      <c r="UTA393" s="24"/>
      <c r="UTC393" s="25"/>
      <c r="UTD393" s="26"/>
      <c r="UTI393" s="24"/>
      <c r="UTL393" s="24"/>
      <c r="UTN393" s="25"/>
      <c r="UTO393" s="26"/>
      <c r="UTT393" s="24"/>
      <c r="UTW393" s="24"/>
      <c r="UTY393" s="25"/>
      <c r="UTZ393" s="26"/>
      <c r="UUE393" s="24"/>
      <c r="UUH393" s="24"/>
      <c r="UUJ393" s="25"/>
      <c r="UUK393" s="26"/>
      <c r="UUP393" s="24"/>
      <c r="UUS393" s="24"/>
      <c r="UUU393" s="25"/>
      <c r="UUV393" s="26"/>
      <c r="UVA393" s="24"/>
      <c r="UVD393" s="24"/>
      <c r="UVF393" s="25"/>
      <c r="UVG393" s="26"/>
      <c r="UVL393" s="24"/>
      <c r="UVO393" s="24"/>
      <c r="UVQ393" s="25"/>
      <c r="UVR393" s="26"/>
      <c r="UVW393" s="24"/>
      <c r="UVZ393" s="24"/>
      <c r="UWB393" s="25"/>
      <c r="UWC393" s="26"/>
      <c r="UWH393" s="24"/>
      <c r="UWK393" s="24"/>
      <c r="UWM393" s="25"/>
      <c r="UWN393" s="26"/>
      <c r="UWS393" s="24"/>
      <c r="UWV393" s="24"/>
      <c r="UWX393" s="25"/>
      <c r="UWY393" s="26"/>
      <c r="UXD393" s="24"/>
      <c r="UXG393" s="24"/>
      <c r="UXI393" s="25"/>
      <c r="UXJ393" s="26"/>
      <c r="UXO393" s="24"/>
      <c r="UXR393" s="24"/>
      <c r="UXT393" s="25"/>
      <c r="UXU393" s="26"/>
      <c r="UXZ393" s="24"/>
      <c r="UYC393" s="24"/>
      <c r="UYE393" s="25"/>
      <c r="UYF393" s="26"/>
      <c r="UYK393" s="24"/>
      <c r="UYN393" s="24"/>
      <c r="UYP393" s="25"/>
      <c r="UYQ393" s="26"/>
      <c r="UYV393" s="24"/>
      <c r="UYY393" s="24"/>
      <c r="UZA393" s="25"/>
      <c r="UZB393" s="26"/>
      <c r="UZG393" s="24"/>
      <c r="UZJ393" s="24"/>
      <c r="UZL393" s="25"/>
      <c r="UZM393" s="26"/>
      <c r="UZR393" s="24"/>
      <c r="UZU393" s="24"/>
      <c r="UZW393" s="25"/>
      <c r="UZX393" s="26"/>
      <c r="VAC393" s="24"/>
      <c r="VAF393" s="24"/>
      <c r="VAH393" s="25"/>
      <c r="VAI393" s="26"/>
      <c r="VAN393" s="24"/>
      <c r="VAQ393" s="24"/>
      <c r="VAS393" s="25"/>
      <c r="VAT393" s="26"/>
      <c r="VAY393" s="24"/>
      <c r="VBB393" s="24"/>
      <c r="VBD393" s="25"/>
      <c r="VBE393" s="26"/>
      <c r="VBJ393" s="24"/>
      <c r="VBM393" s="24"/>
      <c r="VBO393" s="25"/>
      <c r="VBP393" s="26"/>
      <c r="VBU393" s="24"/>
      <c r="VBX393" s="24"/>
      <c r="VBZ393" s="25"/>
      <c r="VCA393" s="26"/>
      <c r="VCF393" s="24"/>
      <c r="VCI393" s="24"/>
      <c r="VCK393" s="25"/>
      <c r="VCL393" s="26"/>
      <c r="VCQ393" s="24"/>
      <c r="VCT393" s="24"/>
      <c r="VCV393" s="25"/>
      <c r="VCW393" s="26"/>
      <c r="VDB393" s="24"/>
      <c r="VDE393" s="24"/>
      <c r="VDG393" s="25"/>
      <c r="VDH393" s="26"/>
      <c r="VDM393" s="24"/>
      <c r="VDP393" s="24"/>
      <c r="VDR393" s="25"/>
      <c r="VDS393" s="26"/>
      <c r="VDX393" s="24"/>
      <c r="VEA393" s="24"/>
      <c r="VEC393" s="25"/>
      <c r="VED393" s="26"/>
      <c r="VEI393" s="24"/>
      <c r="VEL393" s="24"/>
      <c r="VEN393" s="25"/>
      <c r="VEO393" s="26"/>
      <c r="VET393" s="24"/>
      <c r="VEW393" s="24"/>
      <c r="VEY393" s="25"/>
      <c r="VEZ393" s="26"/>
      <c r="VFE393" s="24"/>
      <c r="VFH393" s="24"/>
      <c r="VFJ393" s="25"/>
      <c r="VFK393" s="26"/>
      <c r="VFP393" s="24"/>
      <c r="VFS393" s="24"/>
      <c r="VFU393" s="25"/>
      <c r="VFV393" s="26"/>
      <c r="VGA393" s="24"/>
      <c r="VGD393" s="24"/>
      <c r="VGF393" s="25"/>
      <c r="VGG393" s="26"/>
      <c r="VGL393" s="24"/>
      <c r="VGO393" s="24"/>
      <c r="VGQ393" s="25"/>
      <c r="VGR393" s="26"/>
      <c r="VGW393" s="24"/>
      <c r="VGZ393" s="24"/>
      <c r="VHB393" s="25"/>
      <c r="VHC393" s="26"/>
      <c r="VHH393" s="24"/>
      <c r="VHK393" s="24"/>
      <c r="VHM393" s="25"/>
      <c r="VHN393" s="26"/>
      <c r="VHS393" s="24"/>
      <c r="VHV393" s="24"/>
      <c r="VHX393" s="25"/>
      <c r="VHY393" s="26"/>
      <c r="VID393" s="24"/>
      <c r="VIG393" s="24"/>
      <c r="VII393" s="25"/>
      <c r="VIJ393" s="26"/>
      <c r="VIO393" s="24"/>
      <c r="VIR393" s="24"/>
      <c r="VIT393" s="25"/>
      <c r="VIU393" s="26"/>
      <c r="VIZ393" s="24"/>
      <c r="VJC393" s="24"/>
      <c r="VJE393" s="25"/>
      <c r="VJF393" s="26"/>
      <c r="VJK393" s="24"/>
      <c r="VJN393" s="24"/>
      <c r="VJP393" s="25"/>
      <c r="VJQ393" s="26"/>
      <c r="VJV393" s="24"/>
      <c r="VJY393" s="24"/>
      <c r="VKA393" s="25"/>
      <c r="VKB393" s="26"/>
      <c r="VKG393" s="24"/>
      <c r="VKJ393" s="24"/>
      <c r="VKL393" s="25"/>
      <c r="VKM393" s="26"/>
      <c r="VKR393" s="24"/>
      <c r="VKU393" s="24"/>
      <c r="VKW393" s="25"/>
      <c r="VKX393" s="26"/>
      <c r="VLC393" s="24"/>
      <c r="VLF393" s="24"/>
      <c r="VLH393" s="25"/>
      <c r="VLI393" s="26"/>
      <c r="VLN393" s="24"/>
      <c r="VLQ393" s="24"/>
      <c r="VLS393" s="25"/>
      <c r="VLT393" s="26"/>
      <c r="VLY393" s="24"/>
      <c r="VMB393" s="24"/>
      <c r="VMD393" s="25"/>
      <c r="VME393" s="26"/>
      <c r="VMJ393" s="24"/>
      <c r="VMM393" s="24"/>
      <c r="VMO393" s="25"/>
      <c r="VMP393" s="26"/>
      <c r="VMU393" s="24"/>
      <c r="VMX393" s="24"/>
      <c r="VMZ393" s="25"/>
      <c r="VNA393" s="26"/>
      <c r="VNF393" s="24"/>
      <c r="VNI393" s="24"/>
      <c r="VNK393" s="25"/>
      <c r="VNL393" s="26"/>
      <c r="VNQ393" s="24"/>
      <c r="VNT393" s="24"/>
      <c r="VNV393" s="25"/>
      <c r="VNW393" s="26"/>
      <c r="VOB393" s="24"/>
      <c r="VOE393" s="24"/>
      <c r="VOG393" s="25"/>
      <c r="VOH393" s="26"/>
      <c r="VOM393" s="24"/>
      <c r="VOP393" s="24"/>
      <c r="VOR393" s="25"/>
      <c r="VOS393" s="26"/>
      <c r="VOX393" s="24"/>
      <c r="VPA393" s="24"/>
      <c r="VPC393" s="25"/>
      <c r="VPD393" s="26"/>
      <c r="VPI393" s="24"/>
      <c r="VPL393" s="24"/>
      <c r="VPN393" s="25"/>
      <c r="VPO393" s="26"/>
      <c r="VPT393" s="24"/>
      <c r="VPW393" s="24"/>
      <c r="VPY393" s="25"/>
      <c r="VPZ393" s="26"/>
      <c r="VQE393" s="24"/>
      <c r="VQH393" s="24"/>
      <c r="VQJ393" s="25"/>
      <c r="VQK393" s="26"/>
      <c r="VQP393" s="24"/>
      <c r="VQS393" s="24"/>
      <c r="VQU393" s="25"/>
      <c r="VQV393" s="26"/>
      <c r="VRA393" s="24"/>
      <c r="VRD393" s="24"/>
      <c r="VRF393" s="25"/>
      <c r="VRG393" s="26"/>
      <c r="VRL393" s="24"/>
      <c r="VRO393" s="24"/>
      <c r="VRQ393" s="25"/>
      <c r="VRR393" s="26"/>
      <c r="VRW393" s="24"/>
      <c r="VRZ393" s="24"/>
      <c r="VSB393" s="25"/>
      <c r="VSC393" s="26"/>
      <c r="VSH393" s="24"/>
      <c r="VSK393" s="24"/>
      <c r="VSM393" s="25"/>
      <c r="VSN393" s="26"/>
      <c r="VSS393" s="24"/>
      <c r="VSV393" s="24"/>
      <c r="VSX393" s="25"/>
      <c r="VSY393" s="26"/>
      <c r="VTD393" s="24"/>
      <c r="VTG393" s="24"/>
      <c r="VTI393" s="25"/>
      <c r="VTJ393" s="26"/>
      <c r="VTO393" s="24"/>
      <c r="VTR393" s="24"/>
      <c r="VTT393" s="25"/>
      <c r="VTU393" s="26"/>
      <c r="VTZ393" s="24"/>
      <c r="VUC393" s="24"/>
      <c r="VUE393" s="25"/>
      <c r="VUF393" s="26"/>
      <c r="VUK393" s="24"/>
      <c r="VUN393" s="24"/>
      <c r="VUP393" s="25"/>
      <c r="VUQ393" s="26"/>
      <c r="VUV393" s="24"/>
      <c r="VUY393" s="24"/>
      <c r="VVA393" s="25"/>
      <c r="VVB393" s="26"/>
      <c r="VVG393" s="24"/>
      <c r="VVJ393" s="24"/>
      <c r="VVL393" s="25"/>
      <c r="VVM393" s="26"/>
      <c r="VVR393" s="24"/>
      <c r="VVU393" s="24"/>
      <c r="VVW393" s="25"/>
      <c r="VVX393" s="26"/>
      <c r="VWC393" s="24"/>
      <c r="VWF393" s="24"/>
      <c r="VWH393" s="25"/>
      <c r="VWI393" s="26"/>
      <c r="VWN393" s="24"/>
      <c r="VWQ393" s="24"/>
      <c r="VWS393" s="25"/>
      <c r="VWT393" s="26"/>
      <c r="VWY393" s="24"/>
      <c r="VXB393" s="24"/>
      <c r="VXD393" s="25"/>
      <c r="VXE393" s="26"/>
      <c r="VXJ393" s="24"/>
      <c r="VXM393" s="24"/>
      <c r="VXO393" s="25"/>
      <c r="VXP393" s="26"/>
      <c r="VXU393" s="24"/>
      <c r="VXX393" s="24"/>
      <c r="VXZ393" s="25"/>
      <c r="VYA393" s="26"/>
      <c r="VYF393" s="24"/>
      <c r="VYI393" s="24"/>
      <c r="VYK393" s="25"/>
      <c r="VYL393" s="26"/>
      <c r="VYQ393" s="24"/>
      <c r="VYT393" s="24"/>
      <c r="VYV393" s="25"/>
      <c r="VYW393" s="26"/>
      <c r="VZB393" s="24"/>
      <c r="VZE393" s="24"/>
      <c r="VZG393" s="25"/>
      <c r="VZH393" s="26"/>
      <c r="VZM393" s="24"/>
      <c r="VZP393" s="24"/>
      <c r="VZR393" s="25"/>
      <c r="VZS393" s="26"/>
      <c r="VZX393" s="24"/>
      <c r="WAA393" s="24"/>
      <c r="WAC393" s="25"/>
      <c r="WAD393" s="26"/>
      <c r="WAI393" s="24"/>
      <c r="WAL393" s="24"/>
      <c r="WAN393" s="25"/>
      <c r="WAO393" s="26"/>
      <c r="WAT393" s="24"/>
      <c r="WAW393" s="24"/>
      <c r="WAY393" s="25"/>
      <c r="WAZ393" s="26"/>
      <c r="WBE393" s="24"/>
      <c r="WBH393" s="24"/>
      <c r="WBJ393" s="25"/>
      <c r="WBK393" s="26"/>
      <c r="WBP393" s="24"/>
      <c r="WBS393" s="24"/>
      <c r="WBU393" s="25"/>
      <c r="WBV393" s="26"/>
      <c r="WCA393" s="24"/>
      <c r="WCD393" s="24"/>
      <c r="WCF393" s="25"/>
      <c r="WCG393" s="26"/>
      <c r="WCL393" s="24"/>
      <c r="WCO393" s="24"/>
      <c r="WCQ393" s="25"/>
      <c r="WCR393" s="26"/>
      <c r="WCW393" s="24"/>
      <c r="WCZ393" s="24"/>
      <c r="WDB393" s="25"/>
      <c r="WDC393" s="26"/>
      <c r="WDH393" s="24"/>
      <c r="WDK393" s="24"/>
      <c r="WDM393" s="25"/>
      <c r="WDN393" s="26"/>
      <c r="WDS393" s="24"/>
      <c r="WDV393" s="24"/>
      <c r="WDX393" s="25"/>
      <c r="WDY393" s="26"/>
      <c r="WED393" s="24"/>
      <c r="WEG393" s="24"/>
      <c r="WEI393" s="25"/>
      <c r="WEJ393" s="26"/>
      <c r="WEO393" s="24"/>
      <c r="WER393" s="24"/>
      <c r="WET393" s="25"/>
      <c r="WEU393" s="26"/>
      <c r="WEZ393" s="24"/>
      <c r="WFC393" s="24"/>
      <c r="WFE393" s="25"/>
      <c r="WFF393" s="26"/>
      <c r="WFK393" s="24"/>
      <c r="WFN393" s="24"/>
      <c r="WFP393" s="25"/>
      <c r="WFQ393" s="26"/>
      <c r="WFV393" s="24"/>
      <c r="WFY393" s="24"/>
      <c r="WGA393" s="25"/>
      <c r="WGB393" s="26"/>
      <c r="WGG393" s="24"/>
      <c r="WGJ393" s="24"/>
      <c r="WGL393" s="25"/>
      <c r="WGM393" s="26"/>
      <c r="WGR393" s="24"/>
      <c r="WGU393" s="24"/>
      <c r="WGW393" s="25"/>
      <c r="WGX393" s="26"/>
      <c r="WHC393" s="24"/>
      <c r="WHF393" s="24"/>
      <c r="WHH393" s="25"/>
      <c r="WHI393" s="26"/>
      <c r="WHN393" s="24"/>
      <c r="WHQ393" s="24"/>
      <c r="WHS393" s="25"/>
      <c r="WHT393" s="26"/>
      <c r="WHY393" s="24"/>
      <c r="WIB393" s="24"/>
      <c r="WID393" s="25"/>
      <c r="WIE393" s="26"/>
      <c r="WIJ393" s="24"/>
      <c r="WIM393" s="24"/>
      <c r="WIO393" s="25"/>
      <c r="WIP393" s="26"/>
      <c r="WIU393" s="24"/>
      <c r="WIX393" s="24"/>
      <c r="WIZ393" s="25"/>
      <c r="WJA393" s="26"/>
      <c r="WJF393" s="24"/>
      <c r="WJI393" s="24"/>
      <c r="WJK393" s="25"/>
      <c r="WJL393" s="26"/>
      <c r="WJQ393" s="24"/>
      <c r="WJT393" s="24"/>
      <c r="WJV393" s="25"/>
      <c r="WJW393" s="26"/>
      <c r="WKB393" s="24"/>
      <c r="WKE393" s="24"/>
      <c r="WKG393" s="25"/>
      <c r="WKH393" s="26"/>
      <c r="WKM393" s="24"/>
      <c r="WKP393" s="24"/>
      <c r="WKR393" s="25"/>
      <c r="WKS393" s="26"/>
      <c r="WKX393" s="24"/>
      <c r="WLA393" s="24"/>
      <c r="WLC393" s="25"/>
      <c r="WLD393" s="26"/>
      <c r="WLI393" s="24"/>
      <c r="WLL393" s="24"/>
      <c r="WLN393" s="25"/>
      <c r="WLO393" s="26"/>
      <c r="WLT393" s="24"/>
      <c r="WLW393" s="24"/>
      <c r="WLY393" s="25"/>
      <c r="WLZ393" s="26"/>
      <c r="WME393" s="24"/>
      <c r="WMH393" s="24"/>
      <c r="WMJ393" s="25"/>
      <c r="WMK393" s="26"/>
      <c r="WMP393" s="24"/>
      <c r="WMS393" s="24"/>
      <c r="WMU393" s="25"/>
      <c r="WMV393" s="26"/>
      <c r="WNA393" s="24"/>
      <c r="WND393" s="24"/>
      <c r="WNF393" s="25"/>
      <c r="WNG393" s="26"/>
      <c r="WNL393" s="24"/>
      <c r="WNO393" s="24"/>
      <c r="WNQ393" s="25"/>
      <c r="WNR393" s="26"/>
      <c r="WNW393" s="24"/>
      <c r="WNZ393" s="24"/>
      <c r="WOB393" s="25"/>
      <c r="WOC393" s="26"/>
      <c r="WOH393" s="24"/>
      <c r="WOK393" s="24"/>
      <c r="WOM393" s="25"/>
      <c r="WON393" s="26"/>
      <c r="WOS393" s="24"/>
      <c r="WOV393" s="24"/>
      <c r="WOX393" s="25"/>
      <c r="WOY393" s="26"/>
      <c r="WPD393" s="24"/>
      <c r="WPG393" s="24"/>
      <c r="WPI393" s="25"/>
      <c r="WPJ393" s="26"/>
      <c r="WPO393" s="24"/>
      <c r="WPR393" s="24"/>
      <c r="WPT393" s="25"/>
      <c r="WPU393" s="26"/>
      <c r="WPZ393" s="24"/>
      <c r="WQC393" s="24"/>
      <c r="WQE393" s="25"/>
      <c r="WQF393" s="26"/>
      <c r="WQK393" s="24"/>
      <c r="WQN393" s="24"/>
      <c r="WQP393" s="25"/>
      <c r="WQQ393" s="26"/>
      <c r="WQV393" s="24"/>
      <c r="WQY393" s="24"/>
      <c r="WRA393" s="25"/>
      <c r="WRB393" s="26"/>
      <c r="WRG393" s="24"/>
      <c r="WRJ393" s="24"/>
      <c r="WRL393" s="25"/>
      <c r="WRM393" s="26"/>
      <c r="WRR393" s="24"/>
      <c r="WRU393" s="24"/>
      <c r="WRW393" s="25"/>
      <c r="WRX393" s="26"/>
      <c r="WSC393" s="24"/>
      <c r="WSF393" s="24"/>
      <c r="WSH393" s="25"/>
      <c r="WSI393" s="26"/>
      <c r="WSN393" s="24"/>
      <c r="WSQ393" s="24"/>
      <c r="WSS393" s="25"/>
      <c r="WST393" s="26"/>
      <c r="WSY393" s="24"/>
      <c r="WTB393" s="24"/>
      <c r="WTD393" s="25"/>
      <c r="WTE393" s="26"/>
      <c r="WTJ393" s="24"/>
      <c r="WTM393" s="24"/>
      <c r="WTO393" s="25"/>
      <c r="WTP393" s="26"/>
      <c r="WTU393" s="24"/>
      <c r="WTX393" s="24"/>
      <c r="WTZ393" s="25"/>
      <c r="WUA393" s="26"/>
      <c r="WUF393" s="24"/>
      <c r="WUI393" s="24"/>
      <c r="WUK393" s="25"/>
      <c r="WUL393" s="26"/>
      <c r="WUQ393" s="24"/>
      <c r="WUT393" s="24"/>
      <c r="WUV393" s="25"/>
      <c r="WUW393" s="26"/>
      <c r="WVB393" s="24"/>
      <c r="WVE393" s="24"/>
      <c r="WVG393" s="25"/>
      <c r="WVH393" s="26"/>
      <c r="WVM393" s="24"/>
      <c r="WVP393" s="24"/>
      <c r="WVR393" s="25"/>
      <c r="WVS393" s="26"/>
      <c r="WVX393" s="24"/>
      <c r="WWA393" s="24"/>
      <c r="WWC393" s="25"/>
      <c r="WWD393" s="26"/>
      <c r="WWI393" s="24"/>
      <c r="WWL393" s="24"/>
      <c r="WWN393" s="25"/>
      <c r="WWO393" s="26"/>
      <c r="WWT393" s="24"/>
      <c r="WWW393" s="24"/>
      <c r="WWY393" s="25"/>
      <c r="WWZ393" s="26"/>
      <c r="WXE393" s="24"/>
      <c r="WXH393" s="24"/>
      <c r="WXJ393" s="25"/>
      <c r="WXK393" s="26"/>
      <c r="WXP393" s="24"/>
      <c r="WXS393" s="24"/>
      <c r="WXU393" s="25"/>
      <c r="WXV393" s="26"/>
      <c r="WYA393" s="24"/>
      <c r="WYD393" s="24"/>
      <c r="WYF393" s="25"/>
      <c r="WYG393" s="26"/>
      <c r="WYL393" s="24"/>
      <c r="WYO393" s="24"/>
      <c r="WYQ393" s="25"/>
      <c r="WYR393" s="26"/>
      <c r="WYW393" s="24"/>
      <c r="WYZ393" s="24"/>
      <c r="WZB393" s="25"/>
      <c r="WZC393" s="26"/>
      <c r="WZH393" s="24"/>
      <c r="WZK393" s="24"/>
      <c r="WZM393" s="25"/>
      <c r="WZN393" s="26"/>
      <c r="WZS393" s="24"/>
      <c r="WZV393" s="24"/>
      <c r="WZX393" s="25"/>
      <c r="WZY393" s="26"/>
      <c r="XAD393" s="24"/>
      <c r="XAG393" s="24"/>
      <c r="XAI393" s="25"/>
      <c r="XAJ393" s="26"/>
      <c r="XAO393" s="24"/>
      <c r="XAR393" s="24"/>
      <c r="XAT393" s="25"/>
      <c r="XAU393" s="26"/>
      <c r="XAZ393" s="24"/>
      <c r="XBC393" s="24"/>
      <c r="XBE393" s="25"/>
      <c r="XBF393" s="26"/>
      <c r="XBK393" s="24"/>
      <c r="XBN393" s="24"/>
      <c r="XBP393" s="25"/>
      <c r="XBQ393" s="26"/>
      <c r="XBV393" s="24"/>
      <c r="XBY393" s="24"/>
      <c r="XCA393" s="25"/>
      <c r="XCB393" s="26"/>
      <c r="XCG393" s="24"/>
      <c r="XCJ393" s="24"/>
      <c r="XCL393" s="25"/>
      <c r="XCM393" s="26"/>
      <c r="XCR393" s="24"/>
      <c r="XCU393" s="24"/>
      <c r="XCW393" s="25"/>
      <c r="XCX393" s="26"/>
      <c r="XDC393" s="24"/>
      <c r="XDF393" s="24"/>
      <c r="XDH393" s="25"/>
      <c r="XDI393" s="26"/>
      <c r="XDN393" s="24"/>
      <c r="XDQ393" s="24"/>
      <c r="XDS393" s="25"/>
      <c r="XDT393" s="26"/>
      <c r="XDY393" s="24"/>
      <c r="XEB393" s="24"/>
      <c r="XED393" s="25"/>
      <c r="XEE393" s="26"/>
      <c r="XEJ393" s="24"/>
      <c r="XEM393" s="24"/>
      <c r="XEO393" s="25"/>
      <c r="XEP393" s="26"/>
      <c r="XEU393" s="24"/>
      <c r="XEX393" s="24"/>
      <c r="XEZ393" s="25"/>
      <c r="XFA393" s="26"/>
    </row>
    <row r="394" spans="1:2048 2053:3071 3076:4094 4099:5117 5122:6140 6145:7168 7171:8191 8194:9214 9217:10240 10242:11263 11265:13312 13317:14335 14340:15358 15363:16381" x14ac:dyDescent="0.35">
      <c r="A394" s="10" t="s">
        <v>96</v>
      </c>
      <c r="B394" s="2">
        <f>EXAMENES[[#This Row],[VALOR_UND]]*EXAMENES[[#This Row],[CANT_A_PAGAR]]</f>
        <v>52400</v>
      </c>
      <c r="C394" s="12" t="s">
        <v>97</v>
      </c>
      <c r="D394" s="12" t="s">
        <v>5</v>
      </c>
      <c r="E394" s="12" t="s">
        <v>772</v>
      </c>
      <c r="F394" s="12" t="s">
        <v>777</v>
      </c>
      <c r="G394" s="2">
        <v>26200</v>
      </c>
      <c r="H394" s="12" t="s">
        <v>782</v>
      </c>
      <c r="I394" s="12">
        <v>2</v>
      </c>
      <c r="J394" s="2">
        <v>26200</v>
      </c>
      <c r="K394" s="12">
        <v>61251003</v>
      </c>
      <c r="L394" s="13" t="s">
        <v>841</v>
      </c>
    </row>
    <row r="395" spans="1:2048 2053:3071 3076:4094 4099:5117 5122:6140 6145:7168 7171:8191 8194:9214 9217:10240 10242:11263 11265:13312 13317:14335 14340:15358 15363:16381" x14ac:dyDescent="0.35">
      <c r="A395" s="10" t="s">
        <v>98</v>
      </c>
      <c r="B395" s="2">
        <f>EXAMENES[[#This Row],[VALOR_UND]]*EXAMENES[[#This Row],[CANT_A_PAGAR]]</f>
        <v>52400</v>
      </c>
      <c r="C395" t="s">
        <v>99</v>
      </c>
      <c r="D395" t="s">
        <v>5</v>
      </c>
      <c r="E395" t="s">
        <v>772</v>
      </c>
      <c r="F395" t="s">
        <v>777</v>
      </c>
      <c r="G395" s="2">
        <v>26200</v>
      </c>
      <c r="H395" t="s">
        <v>782</v>
      </c>
      <c r="I395">
        <v>2</v>
      </c>
      <c r="J395" s="2">
        <v>26200</v>
      </c>
      <c r="K395">
        <v>61251003</v>
      </c>
      <c r="L395" t="s">
        <v>841</v>
      </c>
    </row>
    <row r="396" spans="1:2048 2053:3071 3076:4094 4099:5117 5122:6140 6145:7168 7171:8191 8194:9214 9217:10240 10242:11263 11265:13312 13317:14335 14340:15358 15363:16381" x14ac:dyDescent="0.35">
      <c r="A396" s="10" t="s">
        <v>100</v>
      </c>
      <c r="B396" s="2">
        <f>EXAMENES[[#This Row],[VALOR_UND]]*EXAMENES[[#This Row],[CANT_A_PAGAR]]</f>
        <v>52400</v>
      </c>
      <c r="C396" t="s">
        <v>101</v>
      </c>
      <c r="D396" t="s">
        <v>5</v>
      </c>
      <c r="E396" t="s">
        <v>772</v>
      </c>
      <c r="F396" t="s">
        <v>777</v>
      </c>
      <c r="G396" s="2">
        <v>26200</v>
      </c>
      <c r="H396" t="s">
        <v>782</v>
      </c>
      <c r="I396">
        <v>2</v>
      </c>
      <c r="J396" s="2">
        <v>26200</v>
      </c>
      <c r="K396">
        <v>61251003</v>
      </c>
      <c r="L396" t="s">
        <v>841</v>
      </c>
    </row>
    <row r="397" spans="1:2048 2053:3071 3076:4094 4099:5117 5122:6140 6145:7168 7171:8191 8194:9214 9217:10240 10242:11263 11265:13312 13317:14335 14340:15358 15363:16381" x14ac:dyDescent="0.35">
      <c r="A397" s="10" t="s">
        <v>102</v>
      </c>
      <c r="B397" s="2">
        <f>EXAMENES[[#This Row],[VALOR_UND]]*EXAMENES[[#This Row],[CANT_A_PAGAR]]</f>
        <v>52400</v>
      </c>
      <c r="C397" t="s">
        <v>103</v>
      </c>
      <c r="D397" t="s">
        <v>5</v>
      </c>
      <c r="E397" t="s">
        <v>772</v>
      </c>
      <c r="F397" t="s">
        <v>777</v>
      </c>
      <c r="G397" s="2">
        <v>26200</v>
      </c>
      <c r="H397" t="s">
        <v>782</v>
      </c>
      <c r="I397">
        <v>2</v>
      </c>
      <c r="J397" s="2">
        <v>26200</v>
      </c>
      <c r="K397">
        <v>61251003</v>
      </c>
      <c r="L397" t="s">
        <v>841</v>
      </c>
    </row>
    <row r="398" spans="1:2048 2053:3071 3076:4094 4099:5117 5122:6140 6145:7168 7171:8191 8194:9214 9217:10240 10242:11263 11265:13312 13317:14335 14340:15358 15363:16381" x14ac:dyDescent="0.35">
      <c r="A398" s="10" t="s">
        <v>104</v>
      </c>
      <c r="B398" s="2">
        <f>EXAMENES[[#This Row],[VALOR_UND]]*EXAMENES[[#This Row],[CANT_A_PAGAR]]</f>
        <v>26200</v>
      </c>
      <c r="C398" t="s">
        <v>105</v>
      </c>
      <c r="D398" t="s">
        <v>5</v>
      </c>
      <c r="E398" t="s">
        <v>772</v>
      </c>
      <c r="F398" t="s">
        <v>777</v>
      </c>
      <c r="G398" s="2">
        <v>26200</v>
      </c>
      <c r="H398" t="s">
        <v>782</v>
      </c>
      <c r="I398">
        <v>1</v>
      </c>
      <c r="J398" s="2">
        <v>26200</v>
      </c>
      <c r="K398">
        <v>61251003</v>
      </c>
      <c r="L398" t="s">
        <v>841</v>
      </c>
    </row>
    <row r="399" spans="1:2048 2053:3071 3076:4094 4099:5117 5122:6140 6145:7168 7171:8191 8194:9214 9217:10240 10242:11263 11265:13312 13317:14335 14340:15358 15363:16381" x14ac:dyDescent="0.35">
      <c r="A399" s="11" t="s">
        <v>130</v>
      </c>
      <c r="B399" s="2">
        <f>EXAMENES[[#This Row],[VALOR_UND]]*EXAMENES[[#This Row],[CANT_A_PAGAR]]</f>
        <v>26200</v>
      </c>
      <c r="C399" t="s">
        <v>131</v>
      </c>
      <c r="D399" t="s">
        <v>5</v>
      </c>
      <c r="E399" t="s">
        <v>772</v>
      </c>
      <c r="F399" t="s">
        <v>777</v>
      </c>
      <c r="G399" s="2">
        <v>26200</v>
      </c>
      <c r="H399" t="s">
        <v>782</v>
      </c>
      <c r="I399">
        <v>1</v>
      </c>
      <c r="J399" s="2">
        <v>26200</v>
      </c>
      <c r="K399">
        <v>61251003</v>
      </c>
      <c r="L399" t="s">
        <v>841</v>
      </c>
    </row>
    <row r="400" spans="1:2048 2053:3071 3076:4094 4099:5117 5122:6140 6145:7168 7171:8191 8194:9214 9217:10240 10242:11263 11265:13312 13317:14335 14340:15358 15363:16381" x14ac:dyDescent="0.35">
      <c r="A400" s="9" t="s">
        <v>132</v>
      </c>
      <c r="B400" s="2">
        <f>EXAMENES[[#This Row],[VALOR_UND]]*EXAMENES[[#This Row],[CANT_A_PAGAR]]</f>
        <v>52400</v>
      </c>
      <c r="C400" t="s">
        <v>133</v>
      </c>
      <c r="D400" t="s">
        <v>5</v>
      </c>
      <c r="E400" t="s">
        <v>772</v>
      </c>
      <c r="F400" t="s">
        <v>777</v>
      </c>
      <c r="G400" s="2">
        <v>26200</v>
      </c>
      <c r="H400" t="s">
        <v>782</v>
      </c>
      <c r="I400">
        <v>2</v>
      </c>
      <c r="J400" s="2">
        <v>26200</v>
      </c>
      <c r="K400">
        <v>61251003</v>
      </c>
      <c r="L400" t="s">
        <v>841</v>
      </c>
    </row>
    <row r="401" spans="1:12" x14ac:dyDescent="0.35">
      <c r="A401" s="9" t="s">
        <v>144</v>
      </c>
      <c r="B401" s="2">
        <f>EXAMENES[[#This Row],[VALOR_UND]]*EXAMENES[[#This Row],[CANT_A_PAGAR]]</f>
        <v>52400</v>
      </c>
      <c r="C401" t="s">
        <v>145</v>
      </c>
      <c r="D401" t="s">
        <v>5</v>
      </c>
      <c r="E401" t="s">
        <v>772</v>
      </c>
      <c r="F401" t="s">
        <v>777</v>
      </c>
      <c r="G401" s="2">
        <v>26200</v>
      </c>
      <c r="H401" t="s">
        <v>782</v>
      </c>
      <c r="I401">
        <v>2</v>
      </c>
      <c r="J401" s="2">
        <v>26200</v>
      </c>
      <c r="K401">
        <v>61251003</v>
      </c>
      <c r="L401" t="s">
        <v>841</v>
      </c>
    </row>
    <row r="402" spans="1:12" x14ac:dyDescent="0.35">
      <c r="A402" s="9" t="s">
        <v>855</v>
      </c>
      <c r="B402" s="2">
        <f>EXAMENES[[#This Row],[VALOR_UND]]*EXAMENES[[#This Row],[CANT_A_PAGAR]]</f>
        <v>15000</v>
      </c>
      <c r="C402" t="s">
        <v>856</v>
      </c>
      <c r="D402" t="s">
        <v>6</v>
      </c>
      <c r="E402" t="s">
        <v>770</v>
      </c>
      <c r="F402" t="s">
        <v>770</v>
      </c>
      <c r="G402" s="2">
        <v>15000</v>
      </c>
      <c r="H402" t="s">
        <v>784</v>
      </c>
      <c r="I402">
        <v>1</v>
      </c>
      <c r="J402" s="2">
        <v>15000</v>
      </c>
      <c r="K402" s="5">
        <v>61251002</v>
      </c>
      <c r="L402" s="6" t="s">
        <v>840</v>
      </c>
    </row>
    <row r="403" spans="1:12" x14ac:dyDescent="0.35">
      <c r="A403" s="9" t="s">
        <v>146</v>
      </c>
      <c r="B403" s="2">
        <f>EXAMENES[[#This Row],[VALOR_UND]]*EXAMENES[[#This Row],[CANT_A_PAGAR]]</f>
        <v>52400</v>
      </c>
      <c r="C403" t="s">
        <v>147</v>
      </c>
      <c r="D403" t="s">
        <v>5</v>
      </c>
      <c r="E403" t="s">
        <v>772</v>
      </c>
      <c r="F403" t="s">
        <v>777</v>
      </c>
      <c r="G403" s="2">
        <v>26200</v>
      </c>
      <c r="H403" t="s">
        <v>782</v>
      </c>
      <c r="I403">
        <v>2</v>
      </c>
      <c r="J403" s="2">
        <v>26200</v>
      </c>
      <c r="K403">
        <v>61251003</v>
      </c>
      <c r="L403" t="s">
        <v>841</v>
      </c>
    </row>
    <row r="404" spans="1:12" x14ac:dyDescent="0.35">
      <c r="A404" s="9" t="s">
        <v>860</v>
      </c>
      <c r="B404" s="2">
        <f>EXAMENES[[#This Row],[VALOR_UND]]*EXAMENES[[#This Row],[CANT_A_PAGAR]]</f>
        <v>23500</v>
      </c>
      <c r="C404" t="s">
        <v>861</v>
      </c>
      <c r="D404" t="s">
        <v>42</v>
      </c>
      <c r="E404" t="s">
        <v>768</v>
      </c>
      <c r="F404" t="s">
        <v>779</v>
      </c>
      <c r="G404" s="2">
        <v>23500</v>
      </c>
      <c r="H404" t="s">
        <v>786</v>
      </c>
      <c r="I404">
        <v>1</v>
      </c>
      <c r="J404" s="2">
        <v>23500</v>
      </c>
      <c r="K404">
        <v>61251007</v>
      </c>
      <c r="L404" t="s">
        <v>844</v>
      </c>
    </row>
    <row r="405" spans="1:12" x14ac:dyDescent="0.35">
      <c r="A405" s="9" t="s">
        <v>863</v>
      </c>
      <c r="B405" s="2">
        <f>EXAMENES[[#This Row],[VALOR_UND]]*EXAMENES[[#This Row],[CANT_A_PAGAR]]</f>
        <v>23500</v>
      </c>
      <c r="C405" t="s">
        <v>864</v>
      </c>
      <c r="D405" t="s">
        <v>42</v>
      </c>
      <c r="E405" t="s">
        <v>768</v>
      </c>
      <c r="F405" t="s">
        <v>779</v>
      </c>
      <c r="G405" s="2">
        <v>23500</v>
      </c>
      <c r="H405" t="s">
        <v>786</v>
      </c>
      <c r="I405">
        <v>1</v>
      </c>
      <c r="J405" s="2">
        <v>23500</v>
      </c>
      <c r="K405">
        <v>61251007</v>
      </c>
      <c r="L405" t="s">
        <v>844</v>
      </c>
    </row>
    <row r="406" spans="1:12" x14ac:dyDescent="0.35">
      <c r="A406" s="9">
        <v>871121</v>
      </c>
      <c r="B406" s="2">
        <f>EXAMENES[[#This Row],[VALOR_UND]]*EXAMENES[[#This Row],[CANT_A_PAGAR]]</f>
        <v>5800</v>
      </c>
      <c r="C406" t="s">
        <v>331</v>
      </c>
      <c r="D406" t="s">
        <v>2</v>
      </c>
      <c r="E406" t="s">
        <v>769</v>
      </c>
      <c r="F406" t="s">
        <v>769</v>
      </c>
      <c r="G406" s="2">
        <v>5800</v>
      </c>
      <c r="H406" t="s">
        <v>785</v>
      </c>
      <c r="I406">
        <v>1</v>
      </c>
      <c r="J406" s="2">
        <v>5800</v>
      </c>
      <c r="K406">
        <v>61251001</v>
      </c>
      <c r="L406" t="s">
        <v>839</v>
      </c>
    </row>
    <row r="407" spans="1:12" x14ac:dyDescent="0.35">
      <c r="A407" s="9">
        <v>8768011</v>
      </c>
      <c r="B407" s="2">
        <f>EXAMENES[[#This Row],[VALOR_UND]]*EXAMENES[[#This Row],[CANT_A_PAGAR]]</f>
        <v>14800</v>
      </c>
      <c r="C407" t="s">
        <v>857</v>
      </c>
      <c r="D407" t="s">
        <v>39</v>
      </c>
      <c r="E407" t="s">
        <v>771</v>
      </c>
      <c r="F407" t="s">
        <v>771</v>
      </c>
      <c r="G407" s="2">
        <v>14800</v>
      </c>
      <c r="H407" t="s">
        <v>783</v>
      </c>
      <c r="I407">
        <v>1</v>
      </c>
      <c r="J407" s="2">
        <v>14800</v>
      </c>
      <c r="K407">
        <v>61251006</v>
      </c>
      <c r="L407" t="s">
        <v>845</v>
      </c>
    </row>
    <row r="408" spans="1:12" x14ac:dyDescent="0.35">
      <c r="A408" s="9">
        <v>8734200</v>
      </c>
      <c r="B408" s="2">
        <f>EXAMENES[[#This Row],[VALOR_UND]]*EXAMENES[[#This Row],[CANT_A_PAGAR]]</f>
        <v>8200</v>
      </c>
      <c r="C408" t="s">
        <v>858</v>
      </c>
      <c r="D408" t="s">
        <v>2</v>
      </c>
      <c r="E408" t="s">
        <v>769</v>
      </c>
      <c r="F408" t="s">
        <v>769</v>
      </c>
      <c r="G408" s="2">
        <v>8200</v>
      </c>
      <c r="H408" t="s">
        <v>785</v>
      </c>
      <c r="I408">
        <v>1</v>
      </c>
      <c r="J408" s="2">
        <v>8200</v>
      </c>
      <c r="K408">
        <v>61251001</v>
      </c>
      <c r="L408" t="s">
        <v>839</v>
      </c>
    </row>
    <row r="409" spans="1:12" x14ac:dyDescent="0.35">
      <c r="A409" s="9">
        <v>8732040</v>
      </c>
      <c r="B409" s="2">
        <f>EXAMENES[[#This Row],[VALOR_UND]]*EXAMENES[[#This Row],[CANT_A_PAGAR]]</f>
        <v>8200</v>
      </c>
      <c r="C409" t="s">
        <v>859</v>
      </c>
      <c r="D409" t="s">
        <v>2</v>
      </c>
      <c r="E409" t="s">
        <v>769</v>
      </c>
      <c r="F409" t="s">
        <v>769</v>
      </c>
      <c r="G409" s="2">
        <v>8200</v>
      </c>
      <c r="H409" t="s">
        <v>785</v>
      </c>
      <c r="I409">
        <v>1</v>
      </c>
      <c r="J409" s="2">
        <v>8200</v>
      </c>
      <c r="K409">
        <v>61251001</v>
      </c>
      <c r="L409" t="s">
        <v>839</v>
      </c>
    </row>
    <row r="410" spans="1:12" x14ac:dyDescent="0.35">
      <c r="A410" s="9" t="s">
        <v>866</v>
      </c>
      <c r="B410" s="2">
        <f>EXAMENES[[#This Row],[VALOR_UND]]*EXAMENES[[#This Row],[CANT_A_PAGAR]]</f>
        <v>23500</v>
      </c>
      <c r="C410" t="s">
        <v>867</v>
      </c>
      <c r="D410" t="s">
        <v>42</v>
      </c>
      <c r="E410" t="s">
        <v>768</v>
      </c>
      <c r="F410" t="s">
        <v>779</v>
      </c>
      <c r="G410" s="2">
        <v>23500</v>
      </c>
      <c r="H410" t="s">
        <v>786</v>
      </c>
      <c r="I410">
        <v>1</v>
      </c>
      <c r="J410" s="2">
        <v>23500</v>
      </c>
      <c r="K410">
        <v>61251007</v>
      </c>
      <c r="L410" t="s">
        <v>844</v>
      </c>
    </row>
    <row r="411" spans="1:12" x14ac:dyDescent="0.35">
      <c r="A411" s="9">
        <v>8816110</v>
      </c>
      <c r="B411" s="2">
        <f>EXAMENES[[#This Row],[VALOR_UND]]*EXAMENES[[#This Row],[CANT_A_PAGAR]]</f>
        <v>26200</v>
      </c>
      <c r="C411" t="s">
        <v>853</v>
      </c>
      <c r="D411" t="s">
        <v>5</v>
      </c>
      <c r="E411" t="s">
        <v>852</v>
      </c>
      <c r="F411" t="s">
        <v>777</v>
      </c>
      <c r="G411" s="2">
        <v>26200</v>
      </c>
      <c r="H411" t="s">
        <v>782</v>
      </c>
      <c r="I411">
        <v>1</v>
      </c>
      <c r="J411" s="2">
        <v>26200</v>
      </c>
      <c r="K411">
        <v>61251003</v>
      </c>
      <c r="L411" t="s">
        <v>841</v>
      </c>
    </row>
    <row r="412" spans="1:12" x14ac:dyDescent="0.35">
      <c r="A412" s="9">
        <v>8816300</v>
      </c>
      <c r="B412" s="2">
        <f>EXAMENES[[#This Row],[VALOR_UND]]*EXAMENES[[#This Row],[CANT_A_PAGAR]]</f>
        <v>26200</v>
      </c>
      <c r="C412" t="s">
        <v>854</v>
      </c>
      <c r="D412" t="s">
        <v>5</v>
      </c>
      <c r="E412" t="s">
        <v>852</v>
      </c>
      <c r="F412" t="s">
        <v>777</v>
      </c>
      <c r="G412" s="2">
        <v>26200</v>
      </c>
      <c r="H412" t="s">
        <v>782</v>
      </c>
      <c r="I412">
        <v>1</v>
      </c>
      <c r="J412" s="2">
        <v>26200</v>
      </c>
      <c r="K412">
        <v>61251003</v>
      </c>
      <c r="L412" t="s">
        <v>841</v>
      </c>
    </row>
    <row r="413" spans="1:12" s="3" customFormat="1" x14ac:dyDescent="0.35">
      <c r="A413" s="9" t="s">
        <v>1070</v>
      </c>
      <c r="B413" s="21">
        <f>EXAMENES[[#This Row],[VALOR_UND]]*EXAMENES[[#This Row],[CANT_A_PAGAR]]</f>
        <v>45000</v>
      </c>
      <c r="C413" t="s">
        <v>1071</v>
      </c>
      <c r="D413" t="s">
        <v>5</v>
      </c>
      <c r="E413" t="s">
        <v>772</v>
      </c>
      <c r="F413" t="s">
        <v>534</v>
      </c>
      <c r="G413" s="2">
        <v>45000</v>
      </c>
      <c r="H413" t="s">
        <v>782</v>
      </c>
      <c r="I413">
        <v>1</v>
      </c>
      <c r="J413" s="2">
        <v>45000</v>
      </c>
      <c r="K413">
        <v>61251003</v>
      </c>
      <c r="L413" t="s">
        <v>841</v>
      </c>
    </row>
  </sheetData>
  <conditionalFormatting sqref="A414:B1048576 A2:A4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8F10-E6B2-4984-9A9E-A125483B51C4}">
  <dimension ref="C2:K11"/>
  <sheetViews>
    <sheetView workbookViewId="0">
      <selection activeCell="M18" sqref="M18"/>
    </sheetView>
  </sheetViews>
  <sheetFormatPr baseColWidth="10" defaultRowHeight="14.5" x14ac:dyDescent="0.35"/>
  <cols>
    <col min="3" max="3" width="34.81640625" bestFit="1" customWidth="1"/>
    <col min="4" max="4" width="13" bestFit="1" customWidth="1"/>
    <col min="5" max="5" width="4.54296875" bestFit="1" customWidth="1"/>
    <col min="6" max="6" width="14.81640625" bestFit="1" customWidth="1"/>
    <col min="9" max="9" width="12.54296875" bestFit="1" customWidth="1"/>
    <col min="10" max="10" width="10.90625" style="28"/>
    <col min="11" max="11" width="12.54296875" bestFit="1" customWidth="1"/>
  </cols>
  <sheetData>
    <row r="2" spans="3:11" x14ac:dyDescent="0.35">
      <c r="C2" t="s">
        <v>1072</v>
      </c>
      <c r="D2" t="s">
        <v>767</v>
      </c>
      <c r="E2" s="28" t="s">
        <v>1073</v>
      </c>
      <c r="F2" t="s">
        <v>1074</v>
      </c>
    </row>
    <row r="3" spans="3:11" x14ac:dyDescent="0.35">
      <c r="C3" t="s">
        <v>1075</v>
      </c>
      <c r="D3" s="29">
        <v>314500</v>
      </c>
      <c r="E3" s="30">
        <v>0.45</v>
      </c>
      <c r="F3" s="31">
        <f>D3*E$3</f>
        <v>141525</v>
      </c>
      <c r="I3" s="32"/>
      <c r="J3" s="33"/>
      <c r="K3" s="31"/>
    </row>
    <row r="4" spans="3:11" x14ac:dyDescent="0.35">
      <c r="C4" t="s">
        <v>1076</v>
      </c>
      <c r="D4" s="29">
        <v>231772</v>
      </c>
      <c r="E4" s="30">
        <v>0.45</v>
      </c>
      <c r="F4" s="31">
        <f t="shared" ref="F4:F10" si="0">D4*E$3</f>
        <v>104297.40000000001</v>
      </c>
      <c r="I4" s="32"/>
      <c r="J4" s="30"/>
      <c r="K4" s="31"/>
    </row>
    <row r="5" spans="3:11" x14ac:dyDescent="0.35">
      <c r="C5" t="s">
        <v>1077</v>
      </c>
      <c r="D5" s="29">
        <v>307152</v>
      </c>
      <c r="E5" s="30">
        <v>0.45</v>
      </c>
      <c r="F5" s="31">
        <f t="shared" si="0"/>
        <v>138218.4</v>
      </c>
      <c r="I5" s="32"/>
      <c r="J5" s="30"/>
      <c r="K5" s="31"/>
    </row>
    <row r="6" spans="3:11" x14ac:dyDescent="0.35">
      <c r="C6" t="s">
        <v>1078</v>
      </c>
      <c r="D6" s="29">
        <v>249000</v>
      </c>
      <c r="E6" s="30">
        <v>0.45</v>
      </c>
      <c r="F6" s="31">
        <f t="shared" si="0"/>
        <v>112050</v>
      </c>
      <c r="I6" s="32"/>
      <c r="J6" s="30"/>
      <c r="K6" s="31"/>
    </row>
    <row r="7" spans="3:11" x14ac:dyDescent="0.35">
      <c r="C7" t="s">
        <v>1079</v>
      </c>
      <c r="D7" s="29">
        <v>309940</v>
      </c>
      <c r="E7" s="30">
        <v>0.45</v>
      </c>
      <c r="F7" s="31">
        <f t="shared" si="0"/>
        <v>139473</v>
      </c>
      <c r="I7" s="29"/>
    </row>
    <row r="8" spans="3:11" x14ac:dyDescent="0.35">
      <c r="C8" t="s">
        <v>1080</v>
      </c>
      <c r="D8" s="29">
        <v>139429</v>
      </c>
      <c r="E8" s="30">
        <v>0.45</v>
      </c>
      <c r="F8" s="31">
        <f t="shared" si="0"/>
        <v>62743.05</v>
      </c>
      <c r="I8" s="29"/>
    </row>
    <row r="9" spans="3:11" x14ac:dyDescent="0.35">
      <c r="C9" t="s">
        <v>1082</v>
      </c>
      <c r="D9" s="29">
        <v>594864</v>
      </c>
      <c r="E9" s="30">
        <v>0.45</v>
      </c>
      <c r="F9" s="31">
        <f>D9*E$3</f>
        <v>267688.8</v>
      </c>
      <c r="I9" s="29"/>
    </row>
    <row r="10" spans="3:11" x14ac:dyDescent="0.35">
      <c r="C10" t="s">
        <v>1083</v>
      </c>
      <c r="D10" s="29">
        <v>216536</v>
      </c>
      <c r="E10" s="30">
        <v>0.45</v>
      </c>
      <c r="F10" s="31">
        <f>D10*E$3</f>
        <v>97441.2</v>
      </c>
      <c r="I10" s="29"/>
    </row>
    <row r="11" spans="3:11" x14ac:dyDescent="0.35">
      <c r="C11" t="s">
        <v>1081</v>
      </c>
      <c r="D11" s="29">
        <v>816638</v>
      </c>
      <c r="E11" s="30">
        <v>0.45</v>
      </c>
      <c r="F11" s="31">
        <f>D11*E$3</f>
        <v>367487.10000000003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B56D-5208-4F2A-9FD3-FC151A031A27}">
  <dimension ref="A1:B89"/>
  <sheetViews>
    <sheetView workbookViewId="0">
      <selection activeCell="B1" sqref="B1:B1048576"/>
    </sheetView>
  </sheetViews>
  <sheetFormatPr baseColWidth="10" defaultRowHeight="14.5" x14ac:dyDescent="0.35"/>
  <cols>
    <col min="2" max="2" width="84.26953125" bestFit="1" customWidth="1"/>
  </cols>
  <sheetData>
    <row r="1" spans="1:2" x14ac:dyDescent="0.35">
      <c r="A1" t="s">
        <v>942</v>
      </c>
      <c r="B1" t="s">
        <v>943</v>
      </c>
    </row>
    <row r="2" spans="1:2" x14ac:dyDescent="0.35">
      <c r="A2" t="s">
        <v>944</v>
      </c>
      <c r="B2" t="s">
        <v>945</v>
      </c>
    </row>
    <row r="3" spans="1:2" x14ac:dyDescent="0.35">
      <c r="A3" t="s">
        <v>946</v>
      </c>
      <c r="B3" t="s">
        <v>947</v>
      </c>
    </row>
    <row r="4" spans="1:2" x14ac:dyDescent="0.35">
      <c r="A4" t="s">
        <v>948</v>
      </c>
      <c r="B4" t="s">
        <v>949</v>
      </c>
    </row>
    <row r="5" spans="1:2" x14ac:dyDescent="0.35">
      <c r="A5" t="s">
        <v>944</v>
      </c>
      <c r="B5" t="s">
        <v>945</v>
      </c>
    </row>
    <row r="6" spans="1:2" x14ac:dyDescent="0.35">
      <c r="A6" t="s">
        <v>944</v>
      </c>
      <c r="B6" t="s">
        <v>945</v>
      </c>
    </row>
    <row r="7" spans="1:2" x14ac:dyDescent="0.35">
      <c r="A7" t="s">
        <v>944</v>
      </c>
      <c r="B7" t="s">
        <v>945</v>
      </c>
    </row>
    <row r="8" spans="1:2" x14ac:dyDescent="0.35">
      <c r="A8" t="s">
        <v>944</v>
      </c>
      <c r="B8" t="s">
        <v>945</v>
      </c>
    </row>
    <row r="9" spans="1:2" x14ac:dyDescent="0.35">
      <c r="A9" t="s">
        <v>948</v>
      </c>
      <c r="B9" t="s">
        <v>949</v>
      </c>
    </row>
    <row r="10" spans="1:2" x14ac:dyDescent="0.35">
      <c r="A10" t="s">
        <v>950</v>
      </c>
      <c r="B10" t="s">
        <v>951</v>
      </c>
    </row>
    <row r="11" spans="1:2" x14ac:dyDescent="0.35">
      <c r="A11" t="s">
        <v>952</v>
      </c>
      <c r="B11" t="s">
        <v>953</v>
      </c>
    </row>
    <row r="12" spans="1:2" x14ac:dyDescent="0.35">
      <c r="A12" t="s">
        <v>923</v>
      </c>
      <c r="B12" t="s">
        <v>954</v>
      </c>
    </row>
    <row r="13" spans="1:2" x14ac:dyDescent="0.35">
      <c r="A13" t="s">
        <v>955</v>
      </c>
      <c r="B13" t="s">
        <v>956</v>
      </c>
    </row>
    <row r="14" spans="1:2" x14ac:dyDescent="0.35">
      <c r="A14" t="s">
        <v>955</v>
      </c>
      <c r="B14" t="s">
        <v>956</v>
      </c>
    </row>
    <row r="15" spans="1:2" x14ac:dyDescent="0.35">
      <c r="A15" t="s">
        <v>955</v>
      </c>
      <c r="B15" t="s">
        <v>956</v>
      </c>
    </row>
    <row r="16" spans="1:2" x14ac:dyDescent="0.35">
      <c r="A16" t="s">
        <v>957</v>
      </c>
      <c r="B16" t="s">
        <v>958</v>
      </c>
    </row>
    <row r="17" spans="1:2" x14ac:dyDescent="0.35">
      <c r="A17" t="s">
        <v>957</v>
      </c>
      <c r="B17" t="s">
        <v>958</v>
      </c>
    </row>
    <row r="18" spans="1:2" x14ac:dyDescent="0.35">
      <c r="A18" t="s">
        <v>944</v>
      </c>
      <c r="B18" t="s">
        <v>945</v>
      </c>
    </row>
    <row r="19" spans="1:2" x14ac:dyDescent="0.35">
      <c r="A19" t="s">
        <v>955</v>
      </c>
      <c r="B19" t="s">
        <v>956</v>
      </c>
    </row>
    <row r="20" spans="1:2" x14ac:dyDescent="0.35">
      <c r="A20" t="s">
        <v>948</v>
      </c>
      <c r="B20" t="s">
        <v>949</v>
      </c>
    </row>
    <row r="21" spans="1:2" x14ac:dyDescent="0.35">
      <c r="A21" t="s">
        <v>955</v>
      </c>
      <c r="B21" t="s">
        <v>956</v>
      </c>
    </row>
    <row r="22" spans="1:2" x14ac:dyDescent="0.35">
      <c r="A22" t="s">
        <v>944</v>
      </c>
      <c r="B22" t="s">
        <v>945</v>
      </c>
    </row>
    <row r="23" spans="1:2" x14ac:dyDescent="0.35">
      <c r="A23" t="s">
        <v>944</v>
      </c>
      <c r="B23" t="s">
        <v>945</v>
      </c>
    </row>
    <row r="24" spans="1:2" x14ac:dyDescent="0.35">
      <c r="A24" t="s">
        <v>948</v>
      </c>
      <c r="B24" t="s">
        <v>949</v>
      </c>
    </row>
    <row r="25" spans="1:2" x14ac:dyDescent="0.35">
      <c r="A25" t="s">
        <v>959</v>
      </c>
      <c r="B25" t="s">
        <v>960</v>
      </c>
    </row>
    <row r="26" spans="1:2" x14ac:dyDescent="0.35">
      <c r="A26" t="s">
        <v>955</v>
      </c>
      <c r="B26" t="s">
        <v>956</v>
      </c>
    </row>
    <row r="27" spans="1:2" x14ac:dyDescent="0.35">
      <c r="A27" t="s">
        <v>952</v>
      </c>
      <c r="B27" t="s">
        <v>953</v>
      </c>
    </row>
    <row r="28" spans="1:2" x14ac:dyDescent="0.35">
      <c r="A28" t="s">
        <v>955</v>
      </c>
      <c r="B28" t="s">
        <v>956</v>
      </c>
    </row>
    <row r="29" spans="1:2" x14ac:dyDescent="0.35">
      <c r="A29" t="s">
        <v>957</v>
      </c>
      <c r="B29" t="s">
        <v>958</v>
      </c>
    </row>
    <row r="30" spans="1:2" x14ac:dyDescent="0.35">
      <c r="A30" t="s">
        <v>957</v>
      </c>
      <c r="B30" t="s">
        <v>958</v>
      </c>
    </row>
    <row r="31" spans="1:2" x14ac:dyDescent="0.35">
      <c r="A31" t="s">
        <v>955</v>
      </c>
      <c r="B31" t="s">
        <v>956</v>
      </c>
    </row>
    <row r="32" spans="1:2" x14ac:dyDescent="0.35">
      <c r="A32" t="s">
        <v>929</v>
      </c>
      <c r="B32" t="s">
        <v>961</v>
      </c>
    </row>
    <row r="33" spans="1:2" x14ac:dyDescent="0.35">
      <c r="A33" t="s">
        <v>962</v>
      </c>
      <c r="B33" t="s">
        <v>963</v>
      </c>
    </row>
    <row r="34" spans="1:2" x14ac:dyDescent="0.35">
      <c r="A34" t="s">
        <v>948</v>
      </c>
      <c r="B34" t="s">
        <v>949</v>
      </c>
    </row>
    <row r="35" spans="1:2" x14ac:dyDescent="0.35">
      <c r="A35" t="s">
        <v>944</v>
      </c>
      <c r="B35" t="s">
        <v>945</v>
      </c>
    </row>
    <row r="36" spans="1:2" x14ac:dyDescent="0.35">
      <c r="A36" t="s">
        <v>948</v>
      </c>
      <c r="B36" t="s">
        <v>949</v>
      </c>
    </row>
    <row r="37" spans="1:2" x14ac:dyDescent="0.35">
      <c r="A37" t="s">
        <v>964</v>
      </c>
      <c r="B37" t="s">
        <v>965</v>
      </c>
    </row>
    <row r="38" spans="1:2" x14ac:dyDescent="0.35">
      <c r="A38" t="s">
        <v>955</v>
      </c>
      <c r="B38" t="s">
        <v>956</v>
      </c>
    </row>
    <row r="39" spans="1:2" x14ac:dyDescent="0.35">
      <c r="A39" t="s">
        <v>966</v>
      </c>
      <c r="B39" t="s">
        <v>967</v>
      </c>
    </row>
    <row r="40" spans="1:2" x14ac:dyDescent="0.35">
      <c r="A40" t="s">
        <v>968</v>
      </c>
      <c r="B40" t="s">
        <v>969</v>
      </c>
    </row>
    <row r="41" spans="1:2" x14ac:dyDescent="0.35">
      <c r="A41" t="s">
        <v>957</v>
      </c>
      <c r="B41" t="s">
        <v>958</v>
      </c>
    </row>
    <row r="42" spans="1:2" x14ac:dyDescent="0.35">
      <c r="A42" t="s">
        <v>944</v>
      </c>
      <c r="B42" t="s">
        <v>945</v>
      </c>
    </row>
    <row r="43" spans="1:2" x14ac:dyDescent="0.35">
      <c r="A43" t="s">
        <v>970</v>
      </c>
      <c r="B43" t="s">
        <v>971</v>
      </c>
    </row>
    <row r="44" spans="1:2" x14ac:dyDescent="0.35">
      <c r="A44" t="s">
        <v>944</v>
      </c>
      <c r="B44" t="s">
        <v>945</v>
      </c>
    </row>
    <row r="45" spans="1:2" x14ac:dyDescent="0.35">
      <c r="A45" t="s">
        <v>955</v>
      </c>
      <c r="B45" t="s">
        <v>956</v>
      </c>
    </row>
    <row r="46" spans="1:2" x14ac:dyDescent="0.35">
      <c r="A46" t="s">
        <v>955</v>
      </c>
      <c r="B46" t="s">
        <v>956</v>
      </c>
    </row>
    <row r="47" spans="1:2" x14ac:dyDescent="0.35">
      <c r="A47" t="s">
        <v>948</v>
      </c>
      <c r="B47" t="s">
        <v>949</v>
      </c>
    </row>
    <row r="48" spans="1:2" x14ac:dyDescent="0.35">
      <c r="A48" t="s">
        <v>923</v>
      </c>
      <c r="B48" t="s">
        <v>954</v>
      </c>
    </row>
    <row r="49" spans="1:2" x14ac:dyDescent="0.35">
      <c r="A49" t="s">
        <v>948</v>
      </c>
      <c r="B49" t="s">
        <v>949</v>
      </c>
    </row>
    <row r="50" spans="1:2" x14ac:dyDescent="0.35">
      <c r="A50" t="s">
        <v>948</v>
      </c>
      <c r="B50" t="s">
        <v>949</v>
      </c>
    </row>
    <row r="51" spans="1:2" x14ac:dyDescent="0.35">
      <c r="A51" t="s">
        <v>944</v>
      </c>
      <c r="B51" t="s">
        <v>945</v>
      </c>
    </row>
    <row r="52" spans="1:2" x14ac:dyDescent="0.35">
      <c r="A52" t="s">
        <v>957</v>
      </c>
      <c r="B52" t="s">
        <v>958</v>
      </c>
    </row>
    <row r="53" spans="1:2" x14ac:dyDescent="0.35">
      <c r="A53" t="s">
        <v>955</v>
      </c>
      <c r="B53" t="s">
        <v>956</v>
      </c>
    </row>
    <row r="54" spans="1:2" x14ac:dyDescent="0.35">
      <c r="A54" t="s">
        <v>970</v>
      </c>
      <c r="B54" t="s">
        <v>971</v>
      </c>
    </row>
    <row r="55" spans="1:2" x14ac:dyDescent="0.35">
      <c r="A55" t="s">
        <v>948</v>
      </c>
      <c r="B55" t="s">
        <v>949</v>
      </c>
    </row>
    <row r="56" spans="1:2" x14ac:dyDescent="0.35">
      <c r="A56" t="s">
        <v>955</v>
      </c>
      <c r="B56" t="s">
        <v>956</v>
      </c>
    </row>
    <row r="57" spans="1:2" x14ac:dyDescent="0.35">
      <c r="A57" t="s">
        <v>955</v>
      </c>
      <c r="B57" t="s">
        <v>956</v>
      </c>
    </row>
    <row r="58" spans="1:2" x14ac:dyDescent="0.35">
      <c r="A58" t="s">
        <v>966</v>
      </c>
      <c r="B58" t="s">
        <v>967</v>
      </c>
    </row>
    <row r="59" spans="1:2" x14ac:dyDescent="0.35">
      <c r="A59" t="s">
        <v>959</v>
      </c>
      <c r="B59" t="s">
        <v>960</v>
      </c>
    </row>
    <row r="60" spans="1:2" x14ac:dyDescent="0.35">
      <c r="A60" t="s">
        <v>970</v>
      </c>
      <c r="B60" t="s">
        <v>971</v>
      </c>
    </row>
    <row r="61" spans="1:2" x14ac:dyDescent="0.35">
      <c r="A61" t="s">
        <v>952</v>
      </c>
      <c r="B61" t="s">
        <v>953</v>
      </c>
    </row>
    <row r="62" spans="1:2" x14ac:dyDescent="0.35">
      <c r="A62" t="s">
        <v>955</v>
      </c>
      <c r="B62" t="s">
        <v>956</v>
      </c>
    </row>
    <row r="63" spans="1:2" x14ac:dyDescent="0.35">
      <c r="A63" t="s">
        <v>923</v>
      </c>
      <c r="B63" t="s">
        <v>954</v>
      </c>
    </row>
    <row r="64" spans="1:2" x14ac:dyDescent="0.35">
      <c r="A64" t="s">
        <v>959</v>
      </c>
      <c r="B64" t="s">
        <v>960</v>
      </c>
    </row>
    <row r="65" spans="1:2" x14ac:dyDescent="0.35">
      <c r="A65" t="s">
        <v>955</v>
      </c>
      <c r="B65" t="s">
        <v>956</v>
      </c>
    </row>
    <row r="66" spans="1:2" x14ac:dyDescent="0.35">
      <c r="A66" t="s">
        <v>955</v>
      </c>
      <c r="B66" t="s">
        <v>956</v>
      </c>
    </row>
    <row r="67" spans="1:2" x14ac:dyDescent="0.35">
      <c r="A67" t="s">
        <v>952</v>
      </c>
      <c r="B67" t="s">
        <v>953</v>
      </c>
    </row>
    <row r="68" spans="1:2" x14ac:dyDescent="0.35">
      <c r="A68" t="s">
        <v>972</v>
      </c>
      <c r="B68" t="s">
        <v>973</v>
      </c>
    </row>
    <row r="69" spans="1:2" x14ac:dyDescent="0.35">
      <c r="A69" t="s">
        <v>955</v>
      </c>
      <c r="B69" t="s">
        <v>956</v>
      </c>
    </row>
    <row r="70" spans="1:2" x14ac:dyDescent="0.35">
      <c r="A70" t="s">
        <v>952</v>
      </c>
      <c r="B70" t="s">
        <v>953</v>
      </c>
    </row>
    <row r="71" spans="1:2" x14ac:dyDescent="0.35">
      <c r="A71" t="s">
        <v>959</v>
      </c>
      <c r="B71" t="s">
        <v>960</v>
      </c>
    </row>
    <row r="72" spans="1:2" x14ac:dyDescent="0.35">
      <c r="A72" t="s">
        <v>955</v>
      </c>
      <c r="B72" t="s">
        <v>956</v>
      </c>
    </row>
    <row r="73" spans="1:2" x14ac:dyDescent="0.35">
      <c r="A73" t="s">
        <v>955</v>
      </c>
      <c r="B73" t="s">
        <v>956</v>
      </c>
    </row>
    <row r="74" spans="1:2" x14ac:dyDescent="0.35">
      <c r="A74" t="s">
        <v>944</v>
      </c>
      <c r="B74" t="s">
        <v>945</v>
      </c>
    </row>
    <row r="75" spans="1:2" x14ac:dyDescent="0.35">
      <c r="A75" t="s">
        <v>970</v>
      </c>
      <c r="B75" t="s">
        <v>971</v>
      </c>
    </row>
    <row r="76" spans="1:2" x14ac:dyDescent="0.35">
      <c r="A76" t="s">
        <v>948</v>
      </c>
      <c r="B76" t="s">
        <v>949</v>
      </c>
    </row>
    <row r="77" spans="1:2" x14ac:dyDescent="0.35">
      <c r="A77" t="s">
        <v>952</v>
      </c>
      <c r="B77" t="s">
        <v>953</v>
      </c>
    </row>
    <row r="78" spans="1:2" x14ac:dyDescent="0.35">
      <c r="A78" t="s">
        <v>974</v>
      </c>
      <c r="B78" t="s">
        <v>975</v>
      </c>
    </row>
    <row r="79" spans="1:2" x14ac:dyDescent="0.35">
      <c r="A79" t="s">
        <v>955</v>
      </c>
      <c r="B79" t="s">
        <v>956</v>
      </c>
    </row>
    <row r="80" spans="1:2" x14ac:dyDescent="0.35">
      <c r="A80" t="s">
        <v>959</v>
      </c>
      <c r="B80" t="s">
        <v>960</v>
      </c>
    </row>
    <row r="81" spans="1:2" x14ac:dyDescent="0.35">
      <c r="A81" t="s">
        <v>944</v>
      </c>
      <c r="B81" t="s">
        <v>945</v>
      </c>
    </row>
    <row r="82" spans="1:2" x14ac:dyDescent="0.35">
      <c r="A82" t="s">
        <v>875</v>
      </c>
      <c r="B82" t="s">
        <v>926</v>
      </c>
    </row>
    <row r="83" spans="1:2" x14ac:dyDescent="0.35">
      <c r="A83" t="s">
        <v>976</v>
      </c>
      <c r="B83" t="s">
        <v>757</v>
      </c>
    </row>
    <row r="84" spans="1:2" x14ac:dyDescent="0.35">
      <c r="A84" t="s">
        <v>970</v>
      </c>
      <c r="B84" t="s">
        <v>971</v>
      </c>
    </row>
    <row r="85" spans="1:2" x14ac:dyDescent="0.35">
      <c r="A85" t="s">
        <v>977</v>
      </c>
      <c r="B85" t="s">
        <v>978</v>
      </c>
    </row>
    <row r="86" spans="1:2" x14ac:dyDescent="0.35">
      <c r="A86" t="s">
        <v>957</v>
      </c>
      <c r="B86" t="s">
        <v>958</v>
      </c>
    </row>
    <row r="87" spans="1:2" x14ac:dyDescent="0.35">
      <c r="A87" t="s">
        <v>976</v>
      </c>
      <c r="B87" t="s">
        <v>757</v>
      </c>
    </row>
    <row r="88" spans="1:2" x14ac:dyDescent="0.35">
      <c r="A88" t="s">
        <v>923</v>
      </c>
      <c r="B88" t="s">
        <v>954</v>
      </c>
    </row>
    <row r="89" spans="1:2" x14ac:dyDescent="0.35">
      <c r="A89" t="s">
        <v>923</v>
      </c>
      <c r="B89" t="s">
        <v>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2CFF-BA40-4DCF-A7B2-3BF46470157B}">
  <dimension ref="A1:J491"/>
  <sheetViews>
    <sheetView topLeftCell="A392" workbookViewId="0">
      <selection activeCell="B409" sqref="B409"/>
    </sheetView>
  </sheetViews>
  <sheetFormatPr baseColWidth="10" defaultRowHeight="14.5" x14ac:dyDescent="0.35"/>
  <cols>
    <col min="1" max="1" width="10.54296875" bestFit="1" customWidth="1"/>
    <col min="2" max="2" width="81.1796875" bestFit="1" customWidth="1"/>
    <col min="3" max="3" width="14.1796875" bestFit="1" customWidth="1"/>
    <col min="9" max="9" width="142.54296875" bestFit="1" customWidth="1"/>
  </cols>
  <sheetData>
    <row r="1" spans="1:10" x14ac:dyDescent="0.35">
      <c r="A1" t="s">
        <v>790</v>
      </c>
      <c r="B1" t="s">
        <v>791</v>
      </c>
      <c r="C1" t="s">
        <v>792</v>
      </c>
      <c r="E1" t="s">
        <v>836</v>
      </c>
    </row>
    <row r="2" spans="1:10" x14ac:dyDescent="0.35">
      <c r="A2" t="s">
        <v>884</v>
      </c>
      <c r="B2" t="s">
        <v>885</v>
      </c>
      <c r="C2" t="s">
        <v>220</v>
      </c>
      <c r="E2">
        <f>COUNTIF(EXAMENES[CODIGO],Consulta1[[#This Row],[EXACOD]])</f>
        <v>0</v>
      </c>
    </row>
    <row r="3" spans="1:10" x14ac:dyDescent="0.35">
      <c r="A3" t="s">
        <v>237</v>
      </c>
      <c r="B3" t="s">
        <v>238</v>
      </c>
      <c r="C3" t="s">
        <v>220</v>
      </c>
      <c r="E3">
        <f>COUNTIF(EXAMENES[CODIGO],Consulta1[[#This Row],[EXACOD]])</f>
        <v>1</v>
      </c>
    </row>
    <row r="4" spans="1:10" x14ac:dyDescent="0.35">
      <c r="A4" t="s">
        <v>249</v>
      </c>
      <c r="B4" t="s">
        <v>250</v>
      </c>
      <c r="C4" t="s">
        <v>220</v>
      </c>
      <c r="E4">
        <f>COUNTIF(EXAMENES[CODIGO],Consulta1[[#This Row],[EXACOD]])</f>
        <v>1</v>
      </c>
    </row>
    <row r="5" spans="1:10" x14ac:dyDescent="0.35">
      <c r="A5" t="s">
        <v>231</v>
      </c>
      <c r="B5" t="s">
        <v>232</v>
      </c>
      <c r="C5" t="s">
        <v>220</v>
      </c>
      <c r="E5">
        <f>COUNTIF(EXAMENES[CODIGO],Consulta1[[#This Row],[EXACOD]])</f>
        <v>1</v>
      </c>
    </row>
    <row r="6" spans="1:10" x14ac:dyDescent="0.35">
      <c r="A6" t="s">
        <v>247</v>
      </c>
      <c r="B6" t="s">
        <v>248</v>
      </c>
      <c r="C6" t="s">
        <v>220</v>
      </c>
      <c r="E6">
        <f>COUNTIF(EXAMENES[CODIGO],Consulta1[[#This Row],[EXACOD]])</f>
        <v>1</v>
      </c>
    </row>
    <row r="7" spans="1:10" x14ac:dyDescent="0.35">
      <c r="A7" t="s">
        <v>239</v>
      </c>
      <c r="B7" t="s">
        <v>240</v>
      </c>
      <c r="C7" t="s">
        <v>220</v>
      </c>
      <c r="E7">
        <f>COUNTIF(EXAMENES[CODIGO],Consulta1[[#This Row],[EXACOD]])</f>
        <v>1</v>
      </c>
    </row>
    <row r="8" spans="1:10" x14ac:dyDescent="0.35">
      <c r="A8" t="s">
        <v>243</v>
      </c>
      <c r="B8" t="s">
        <v>244</v>
      </c>
      <c r="C8" t="s">
        <v>220</v>
      </c>
      <c r="E8">
        <f>COUNTIF(EXAMENES[CODIGO],Consulta1[[#This Row],[EXACOD]])</f>
        <v>1</v>
      </c>
    </row>
    <row r="9" spans="1:10" x14ac:dyDescent="0.35">
      <c r="A9" t="s">
        <v>225</v>
      </c>
      <c r="B9" t="s">
        <v>226</v>
      </c>
      <c r="C9" t="s">
        <v>220</v>
      </c>
      <c r="E9">
        <f>COUNTIF(EXAMENES[CODIGO],Consulta1[[#This Row],[EXACOD]])</f>
        <v>1</v>
      </c>
      <c r="H9" t="s">
        <v>793</v>
      </c>
      <c r="I9" t="s">
        <v>794</v>
      </c>
      <c r="J9" t="s">
        <v>220</v>
      </c>
    </row>
    <row r="10" spans="1:10" x14ac:dyDescent="0.35">
      <c r="A10" t="s">
        <v>221</v>
      </c>
      <c r="B10" t="s">
        <v>222</v>
      </c>
      <c r="C10" t="s">
        <v>220</v>
      </c>
      <c r="E10">
        <f>COUNTIF(EXAMENES[CODIGO],Consulta1[[#This Row],[EXACOD]])</f>
        <v>1</v>
      </c>
      <c r="H10" t="s">
        <v>237</v>
      </c>
      <c r="I10" t="s">
        <v>238</v>
      </c>
      <c r="J10" t="s">
        <v>220</v>
      </c>
    </row>
    <row r="11" spans="1:10" x14ac:dyDescent="0.35">
      <c r="A11" t="s">
        <v>256</v>
      </c>
      <c r="B11" t="s">
        <v>257</v>
      </c>
      <c r="C11" t="s">
        <v>220</v>
      </c>
      <c r="E11">
        <f>COUNTIF(EXAMENES[CODIGO],Consulta1[[#This Row],[EXACOD]])</f>
        <v>1</v>
      </c>
      <c r="H11" t="s">
        <v>245</v>
      </c>
      <c r="I11" t="s">
        <v>246</v>
      </c>
      <c r="J11" t="s">
        <v>220</v>
      </c>
    </row>
    <row r="12" spans="1:10" x14ac:dyDescent="0.35">
      <c r="A12" t="s">
        <v>258</v>
      </c>
      <c r="B12" t="s">
        <v>259</v>
      </c>
      <c r="C12" t="s">
        <v>220</v>
      </c>
      <c r="E12">
        <f>COUNTIF(EXAMENES[CODIGO],Consulta1[[#This Row],[EXACOD]])</f>
        <v>1</v>
      </c>
      <c r="H12" t="s">
        <v>254</v>
      </c>
      <c r="I12" t="s">
        <v>255</v>
      </c>
      <c r="J12" t="s">
        <v>220</v>
      </c>
    </row>
    <row r="13" spans="1:10" x14ac:dyDescent="0.35">
      <c r="A13" t="s">
        <v>241</v>
      </c>
      <c r="B13" t="s">
        <v>242</v>
      </c>
      <c r="C13" t="s">
        <v>220</v>
      </c>
      <c r="E13">
        <f>COUNTIF(EXAMENES[CODIGO],Consulta1[[#This Row],[EXACOD]])</f>
        <v>1</v>
      </c>
      <c r="H13" t="s">
        <v>795</v>
      </c>
      <c r="I13" t="s">
        <v>219</v>
      </c>
      <c r="J13" t="s">
        <v>220</v>
      </c>
    </row>
    <row r="14" spans="1:10" x14ac:dyDescent="0.35">
      <c r="A14" t="s">
        <v>245</v>
      </c>
      <c r="B14" s="20" t="s">
        <v>246</v>
      </c>
      <c r="C14" t="s">
        <v>220</v>
      </c>
      <c r="E14">
        <f>COUNTIF(EXAMENES[CODIGO],Consulta1[[#This Row],[EXACOD]])</f>
        <v>1</v>
      </c>
      <c r="H14" t="s">
        <v>231</v>
      </c>
      <c r="I14" t="s">
        <v>232</v>
      </c>
      <c r="J14" t="s">
        <v>220</v>
      </c>
    </row>
    <row r="15" spans="1:10" x14ac:dyDescent="0.35">
      <c r="A15" t="s">
        <v>252</v>
      </c>
      <c r="B15" t="s">
        <v>253</v>
      </c>
      <c r="C15" t="s">
        <v>220</v>
      </c>
      <c r="E15">
        <f>COUNTIF(EXAMENES[CODIGO],Consulta1[[#This Row],[EXACOD]])</f>
        <v>1</v>
      </c>
      <c r="H15" t="s">
        <v>218</v>
      </c>
      <c r="I15" t="s">
        <v>219</v>
      </c>
      <c r="J15" t="s">
        <v>220</v>
      </c>
    </row>
    <row r="16" spans="1:10" x14ac:dyDescent="0.35">
      <c r="A16" t="s">
        <v>223</v>
      </c>
      <c r="B16" t="s">
        <v>224</v>
      </c>
      <c r="C16" t="s">
        <v>220</v>
      </c>
      <c r="E16">
        <f>COUNTIF(EXAMENES[CODIGO],Consulta1[[#This Row],[EXACOD]])</f>
        <v>2</v>
      </c>
      <c r="H16" t="s">
        <v>260</v>
      </c>
      <c r="I16" t="s">
        <v>261</v>
      </c>
      <c r="J16" t="s">
        <v>220</v>
      </c>
    </row>
    <row r="17" spans="1:10" x14ac:dyDescent="0.35">
      <c r="A17" t="s">
        <v>251</v>
      </c>
      <c r="B17" t="s">
        <v>224</v>
      </c>
      <c r="C17" t="s">
        <v>220</v>
      </c>
      <c r="E17">
        <f>COUNTIF(EXAMENES[CODIGO],Consulta1[[#This Row],[EXACOD]])</f>
        <v>2</v>
      </c>
      <c r="H17" t="s">
        <v>530</v>
      </c>
      <c r="I17" t="s">
        <v>224</v>
      </c>
      <c r="J17" t="s">
        <v>220</v>
      </c>
    </row>
    <row r="18" spans="1:10" x14ac:dyDescent="0.35">
      <c r="A18" t="s">
        <v>979</v>
      </c>
      <c r="B18" t="s">
        <v>224</v>
      </c>
      <c r="C18" t="s">
        <v>220</v>
      </c>
      <c r="E18">
        <f>COUNTIF(EXAMENES[CODIGO],Consulta1[[#This Row],[EXACOD]])</f>
        <v>0</v>
      </c>
      <c r="H18" t="s">
        <v>796</v>
      </c>
      <c r="I18" t="s">
        <v>797</v>
      </c>
      <c r="J18" t="s">
        <v>220</v>
      </c>
    </row>
    <row r="19" spans="1:10" x14ac:dyDescent="0.35">
      <c r="A19" t="s">
        <v>530</v>
      </c>
      <c r="B19" t="s">
        <v>224</v>
      </c>
      <c r="C19" t="s">
        <v>220</v>
      </c>
      <c r="E19">
        <f>COUNTIF(EXAMENES[CODIGO],Consulta1[[#This Row],[EXACOD]])</f>
        <v>1</v>
      </c>
      <c r="H19" t="s">
        <v>221</v>
      </c>
      <c r="I19" t="s">
        <v>222</v>
      </c>
      <c r="J19" t="s">
        <v>220</v>
      </c>
    </row>
    <row r="20" spans="1:10" x14ac:dyDescent="0.35">
      <c r="A20" t="s">
        <v>235</v>
      </c>
      <c r="B20" t="s">
        <v>236</v>
      </c>
      <c r="C20" t="s">
        <v>220</v>
      </c>
      <c r="E20">
        <f>COUNTIF(EXAMENES[CODIGO],Consulta1[[#This Row],[EXACOD]])</f>
        <v>1</v>
      </c>
      <c r="H20" t="s">
        <v>223</v>
      </c>
      <c r="I20" t="s">
        <v>224</v>
      </c>
      <c r="J20" t="s">
        <v>220</v>
      </c>
    </row>
    <row r="21" spans="1:10" x14ac:dyDescent="0.35">
      <c r="A21" t="s">
        <v>543</v>
      </c>
      <c r="B21" t="s">
        <v>236</v>
      </c>
      <c r="C21" t="s">
        <v>220</v>
      </c>
      <c r="E21">
        <f>COUNTIF(EXAMENES[CODIGO],Consulta1[[#This Row],[EXACOD]])</f>
        <v>1</v>
      </c>
      <c r="H21" t="s">
        <v>239</v>
      </c>
      <c r="I21" t="s">
        <v>240</v>
      </c>
      <c r="J21" t="s">
        <v>220</v>
      </c>
    </row>
    <row r="22" spans="1:10" x14ac:dyDescent="0.35">
      <c r="A22" t="s">
        <v>229</v>
      </c>
      <c r="B22" t="s">
        <v>230</v>
      </c>
      <c r="C22" t="s">
        <v>220</v>
      </c>
      <c r="E22">
        <f>COUNTIF(EXAMENES[CODIGO],Consulta1[[#This Row],[EXACOD]])</f>
        <v>1</v>
      </c>
      <c r="H22" t="s">
        <v>252</v>
      </c>
      <c r="I22" t="s">
        <v>253</v>
      </c>
      <c r="J22" t="s">
        <v>220</v>
      </c>
    </row>
    <row r="23" spans="1:10" x14ac:dyDescent="0.35">
      <c r="A23" t="s">
        <v>233</v>
      </c>
      <c r="B23" t="s">
        <v>234</v>
      </c>
      <c r="C23" t="s">
        <v>220</v>
      </c>
      <c r="E23">
        <f>COUNTIF(EXAMENES[CODIGO],Consulta1[[#This Row],[EXACOD]])</f>
        <v>1</v>
      </c>
      <c r="H23" t="s">
        <v>264</v>
      </c>
      <c r="I23" t="s">
        <v>265</v>
      </c>
      <c r="J23" t="s">
        <v>220</v>
      </c>
    </row>
    <row r="24" spans="1:10" x14ac:dyDescent="0.35">
      <c r="A24" t="s">
        <v>254</v>
      </c>
      <c r="B24" s="20" t="s">
        <v>255</v>
      </c>
      <c r="C24" t="s">
        <v>220</v>
      </c>
      <c r="E24">
        <f>COUNTIF(EXAMENES[CODIGO],Consulta1[[#This Row],[EXACOD]])</f>
        <v>1</v>
      </c>
      <c r="H24" t="s">
        <v>621</v>
      </c>
      <c r="I24" t="s">
        <v>622</v>
      </c>
      <c r="J24" t="s">
        <v>220</v>
      </c>
    </row>
    <row r="25" spans="1:10" x14ac:dyDescent="0.35">
      <c r="A25" t="s">
        <v>878</v>
      </c>
      <c r="B25" t="s">
        <v>879</v>
      </c>
      <c r="C25" t="s">
        <v>220</v>
      </c>
      <c r="E25">
        <f>COUNTIF(EXAMENES[CODIGO],Consulta1[[#This Row],[EXACOD]])</f>
        <v>0</v>
      </c>
      <c r="H25" t="s">
        <v>235</v>
      </c>
      <c r="I25" t="s">
        <v>236</v>
      </c>
      <c r="J25" t="s">
        <v>220</v>
      </c>
    </row>
    <row r="26" spans="1:10" x14ac:dyDescent="0.35">
      <c r="A26" t="s">
        <v>798</v>
      </c>
      <c r="B26" t="s">
        <v>799</v>
      </c>
      <c r="C26" t="s">
        <v>220</v>
      </c>
      <c r="E26">
        <f>COUNTIF(EXAMENES[CODIGO],Consulta1[[#This Row],[EXACOD]])</f>
        <v>1</v>
      </c>
      <c r="H26" t="s">
        <v>233</v>
      </c>
      <c r="I26" t="s">
        <v>234</v>
      </c>
      <c r="J26" t="s">
        <v>220</v>
      </c>
    </row>
    <row r="27" spans="1:10" x14ac:dyDescent="0.35">
      <c r="A27" t="s">
        <v>264</v>
      </c>
      <c r="B27" t="s">
        <v>265</v>
      </c>
      <c r="C27" t="s">
        <v>220</v>
      </c>
      <c r="E27">
        <f>COUNTIF(EXAMENES[CODIGO],Consulta1[[#This Row],[EXACOD]])</f>
        <v>1</v>
      </c>
      <c r="H27" t="s">
        <v>798</v>
      </c>
      <c r="I27" t="s">
        <v>799</v>
      </c>
      <c r="J27" t="s">
        <v>220</v>
      </c>
    </row>
    <row r="28" spans="1:10" x14ac:dyDescent="0.35">
      <c r="A28" t="s">
        <v>218</v>
      </c>
      <c r="B28" t="s">
        <v>219</v>
      </c>
      <c r="C28" t="s">
        <v>220</v>
      </c>
      <c r="E28">
        <f>COUNTIF(EXAMENES[CODIGO],Consulta1[[#This Row],[EXACOD]])</f>
        <v>1</v>
      </c>
      <c r="H28" t="s">
        <v>225</v>
      </c>
      <c r="I28" t="s">
        <v>226</v>
      </c>
      <c r="J28" t="s">
        <v>220</v>
      </c>
    </row>
    <row r="29" spans="1:10" x14ac:dyDescent="0.35">
      <c r="A29" t="s">
        <v>795</v>
      </c>
      <c r="B29" t="s">
        <v>219</v>
      </c>
      <c r="C29" t="s">
        <v>220</v>
      </c>
      <c r="E29">
        <f>COUNTIF(EXAMENES[CODIGO],Consulta1[[#This Row],[EXACOD]])</f>
        <v>1</v>
      </c>
      <c r="H29" t="s">
        <v>229</v>
      </c>
      <c r="I29" t="s">
        <v>230</v>
      </c>
      <c r="J29" t="s">
        <v>220</v>
      </c>
    </row>
    <row r="30" spans="1:10" x14ac:dyDescent="0.35">
      <c r="A30" t="s">
        <v>621</v>
      </c>
      <c r="B30" t="s">
        <v>622</v>
      </c>
      <c r="C30" t="s">
        <v>220</v>
      </c>
      <c r="E30">
        <f>COUNTIF(EXAMENES[CODIGO],Consulta1[[#This Row],[EXACOD]])</f>
        <v>1</v>
      </c>
      <c r="H30" t="s">
        <v>247</v>
      </c>
      <c r="I30" t="s">
        <v>248</v>
      </c>
      <c r="J30" t="s">
        <v>220</v>
      </c>
    </row>
    <row r="31" spans="1:10" x14ac:dyDescent="0.35">
      <c r="A31" t="s">
        <v>572</v>
      </c>
      <c r="B31" t="s">
        <v>573</v>
      </c>
      <c r="C31" t="s">
        <v>220</v>
      </c>
      <c r="E31">
        <f>COUNTIF(EXAMENES[CODIGO],Consulta1[[#This Row],[EXACOD]])</f>
        <v>1</v>
      </c>
      <c r="H31" t="s">
        <v>262</v>
      </c>
      <c r="I31" t="s">
        <v>263</v>
      </c>
      <c r="J31" t="s">
        <v>220</v>
      </c>
    </row>
    <row r="32" spans="1:10" x14ac:dyDescent="0.35">
      <c r="A32" t="s">
        <v>882</v>
      </c>
      <c r="B32" t="s">
        <v>883</v>
      </c>
      <c r="C32" t="s">
        <v>220</v>
      </c>
      <c r="E32">
        <f>COUNTIF(EXAMENES[CODIGO],Consulta1[[#This Row],[EXACOD]])</f>
        <v>0</v>
      </c>
      <c r="H32" t="s">
        <v>541</v>
      </c>
      <c r="I32" t="s">
        <v>542</v>
      </c>
      <c r="J32" t="s">
        <v>220</v>
      </c>
    </row>
    <row r="33" spans="1:10" x14ac:dyDescent="0.35">
      <c r="A33" t="s">
        <v>980</v>
      </c>
      <c r="B33" t="s">
        <v>981</v>
      </c>
      <c r="C33" t="s">
        <v>220</v>
      </c>
      <c r="E33">
        <f>COUNTIF(EXAMENES[CODIGO],Consulta1[[#This Row],[EXACOD]])</f>
        <v>0</v>
      </c>
      <c r="H33" t="s">
        <v>249</v>
      </c>
      <c r="I33" t="s">
        <v>250</v>
      </c>
      <c r="J33" t="s">
        <v>220</v>
      </c>
    </row>
    <row r="34" spans="1:10" x14ac:dyDescent="0.35">
      <c r="A34" t="s">
        <v>982</v>
      </c>
      <c r="B34" t="s">
        <v>983</v>
      </c>
      <c r="C34" t="s">
        <v>220</v>
      </c>
      <c r="E34">
        <f>COUNTIF(EXAMENES[CODIGO],Consulta1[[#This Row],[EXACOD]])</f>
        <v>0</v>
      </c>
      <c r="H34" t="s">
        <v>750</v>
      </c>
      <c r="I34" t="s">
        <v>751</v>
      </c>
      <c r="J34" t="s">
        <v>745</v>
      </c>
    </row>
    <row r="35" spans="1:10" x14ac:dyDescent="0.35">
      <c r="A35" t="s">
        <v>796</v>
      </c>
      <c r="B35" t="s">
        <v>797</v>
      </c>
      <c r="C35" t="s">
        <v>220</v>
      </c>
      <c r="E35">
        <f>COUNTIF(EXAMENES[CODIGO],Consulta1[[#This Row],[EXACOD]])</f>
        <v>1</v>
      </c>
      <c r="H35" t="s">
        <v>743</v>
      </c>
      <c r="I35" t="s">
        <v>744</v>
      </c>
      <c r="J35" t="s">
        <v>745</v>
      </c>
    </row>
    <row r="36" spans="1:10" x14ac:dyDescent="0.35">
      <c r="A36" t="s">
        <v>880</v>
      </c>
      <c r="B36" t="s">
        <v>881</v>
      </c>
      <c r="C36" t="s">
        <v>220</v>
      </c>
      <c r="E36">
        <f>COUNTIF(EXAMENES[CODIGO],Consulta1[[#This Row],[EXACOD]])</f>
        <v>0</v>
      </c>
      <c r="H36" t="s">
        <v>746</v>
      </c>
      <c r="I36" t="s">
        <v>747</v>
      </c>
      <c r="J36" t="s">
        <v>745</v>
      </c>
    </row>
    <row r="37" spans="1:10" x14ac:dyDescent="0.35">
      <c r="A37" t="s">
        <v>888</v>
      </c>
      <c r="B37" t="s">
        <v>889</v>
      </c>
      <c r="C37" t="s">
        <v>220</v>
      </c>
      <c r="E37">
        <f>COUNTIF(EXAMENES[CODIGO],Consulta1[[#This Row],[EXACOD]])</f>
        <v>0</v>
      </c>
      <c r="H37" t="s">
        <v>748</v>
      </c>
      <c r="I37" t="s">
        <v>749</v>
      </c>
      <c r="J37" t="s">
        <v>745</v>
      </c>
    </row>
    <row r="38" spans="1:10" x14ac:dyDescent="0.35">
      <c r="A38" t="s">
        <v>876</v>
      </c>
      <c r="B38" t="s">
        <v>877</v>
      </c>
      <c r="C38" t="s">
        <v>220</v>
      </c>
      <c r="E38">
        <f>COUNTIF(EXAMENES[CODIGO],Consulta1[[#This Row],[EXACOD]])</f>
        <v>0</v>
      </c>
      <c r="H38" t="s">
        <v>106</v>
      </c>
      <c r="I38" t="s">
        <v>107</v>
      </c>
      <c r="J38" t="s">
        <v>77</v>
      </c>
    </row>
    <row r="39" spans="1:10" x14ac:dyDescent="0.35">
      <c r="A39" t="s">
        <v>984</v>
      </c>
      <c r="B39" t="s">
        <v>985</v>
      </c>
      <c r="C39" t="s">
        <v>220</v>
      </c>
      <c r="E39">
        <f>COUNTIF(EXAMENES[CODIGO],Consulta1[[#This Row],[EXACOD]])</f>
        <v>0</v>
      </c>
      <c r="H39" t="s">
        <v>134</v>
      </c>
      <c r="I39" t="s">
        <v>135</v>
      </c>
      <c r="J39" t="s">
        <v>77</v>
      </c>
    </row>
    <row r="40" spans="1:10" x14ac:dyDescent="0.35">
      <c r="A40" t="s">
        <v>793</v>
      </c>
      <c r="B40" t="s">
        <v>794</v>
      </c>
      <c r="C40" t="s">
        <v>220</v>
      </c>
      <c r="E40">
        <f>COUNTIF(EXAMENES[CODIGO],Consulta1[[#This Row],[EXACOD]])</f>
        <v>1</v>
      </c>
      <c r="H40" t="s">
        <v>528</v>
      </c>
      <c r="I40" t="s">
        <v>529</v>
      </c>
      <c r="J40" t="s">
        <v>77</v>
      </c>
    </row>
    <row r="41" spans="1:10" x14ac:dyDescent="0.35">
      <c r="A41" t="s">
        <v>541</v>
      </c>
      <c r="B41" t="s">
        <v>542</v>
      </c>
      <c r="C41" t="s">
        <v>220</v>
      </c>
      <c r="E41">
        <f>COUNTIF(EXAMENES[CODIGO],Consulta1[[#This Row],[EXACOD]])</f>
        <v>1</v>
      </c>
      <c r="H41" t="s">
        <v>548</v>
      </c>
      <c r="I41" t="s">
        <v>549</v>
      </c>
      <c r="J41" t="s">
        <v>77</v>
      </c>
    </row>
    <row r="42" spans="1:10" x14ac:dyDescent="0.35">
      <c r="A42" t="s">
        <v>260</v>
      </c>
      <c r="B42" t="s">
        <v>261</v>
      </c>
      <c r="C42" t="s">
        <v>220</v>
      </c>
      <c r="E42">
        <f>COUNTIF(EXAMENES[CODIGO],Consulta1[[#This Row],[EXACOD]])</f>
        <v>1</v>
      </c>
      <c r="H42" t="s">
        <v>566</v>
      </c>
      <c r="I42" t="s">
        <v>567</v>
      </c>
      <c r="J42" t="s">
        <v>77</v>
      </c>
    </row>
    <row r="43" spans="1:10" x14ac:dyDescent="0.35">
      <c r="A43" t="s">
        <v>262</v>
      </c>
      <c r="B43" t="s">
        <v>263</v>
      </c>
      <c r="C43" t="s">
        <v>220</v>
      </c>
      <c r="E43">
        <f>COUNTIF(EXAMENES[CODIGO],Consulta1[[#This Row],[EXACOD]])</f>
        <v>1</v>
      </c>
      <c r="H43" t="s">
        <v>705</v>
      </c>
      <c r="I43" t="s">
        <v>706</v>
      </c>
      <c r="J43" t="s">
        <v>77</v>
      </c>
    </row>
    <row r="44" spans="1:10" x14ac:dyDescent="0.35">
      <c r="A44" t="s">
        <v>890</v>
      </c>
      <c r="B44" t="s">
        <v>891</v>
      </c>
      <c r="C44" t="s">
        <v>220</v>
      </c>
      <c r="E44">
        <f>COUNTIF(EXAMENES[CODIGO],Consulta1[[#This Row],[EXACOD]])</f>
        <v>0</v>
      </c>
      <c r="H44" t="s">
        <v>633</v>
      </c>
      <c r="I44" t="s">
        <v>634</v>
      </c>
      <c r="J44" t="s">
        <v>77</v>
      </c>
    </row>
    <row r="45" spans="1:10" x14ac:dyDescent="0.35">
      <c r="A45" t="s">
        <v>886</v>
      </c>
      <c r="B45" t="s">
        <v>887</v>
      </c>
      <c r="C45" t="s">
        <v>220</v>
      </c>
      <c r="E45">
        <f>COUNTIF(EXAMENES[CODIGO],Consulta1[[#This Row],[EXACOD]])</f>
        <v>0</v>
      </c>
      <c r="H45" t="s">
        <v>641</v>
      </c>
      <c r="I45" t="s">
        <v>642</v>
      </c>
      <c r="J45" t="s">
        <v>77</v>
      </c>
    </row>
    <row r="46" spans="1:10" x14ac:dyDescent="0.35">
      <c r="A46" t="s">
        <v>892</v>
      </c>
      <c r="B46" t="s">
        <v>893</v>
      </c>
      <c r="C46" t="s">
        <v>745</v>
      </c>
      <c r="E46">
        <f>COUNTIF(EXAMENES[CODIGO],Consulta1[[#This Row],[EXACOD]])</f>
        <v>0</v>
      </c>
      <c r="H46" t="s">
        <v>653</v>
      </c>
      <c r="I46" t="s">
        <v>654</v>
      </c>
      <c r="J46" t="s">
        <v>77</v>
      </c>
    </row>
    <row r="47" spans="1:10" x14ac:dyDescent="0.35">
      <c r="A47" t="s">
        <v>750</v>
      </c>
      <c r="B47" t="s">
        <v>751</v>
      </c>
      <c r="C47" t="s">
        <v>745</v>
      </c>
      <c r="E47">
        <f>COUNTIF(EXAMENES[CODIGO],Consulta1[[#This Row],[EXACOD]])</f>
        <v>1</v>
      </c>
      <c r="H47" t="s">
        <v>711</v>
      </c>
      <c r="I47" t="s">
        <v>712</v>
      </c>
      <c r="J47" t="s">
        <v>77</v>
      </c>
    </row>
    <row r="48" spans="1:10" x14ac:dyDescent="0.35">
      <c r="A48" t="s">
        <v>748</v>
      </c>
      <c r="B48" t="s">
        <v>749</v>
      </c>
      <c r="C48" t="s">
        <v>745</v>
      </c>
      <c r="E48">
        <f>COUNTIF(EXAMENES[CODIGO],Consulta1[[#This Row],[EXACOD]])</f>
        <v>1</v>
      </c>
      <c r="H48" t="s">
        <v>729</v>
      </c>
      <c r="I48" t="s">
        <v>730</v>
      </c>
      <c r="J48" t="s">
        <v>77</v>
      </c>
    </row>
    <row r="49" spans="1:10" x14ac:dyDescent="0.35">
      <c r="A49" t="s">
        <v>746</v>
      </c>
      <c r="B49" t="s">
        <v>747</v>
      </c>
      <c r="C49" t="s">
        <v>745</v>
      </c>
      <c r="E49">
        <f>COUNTIF(EXAMENES[CODIGO],Consulta1[[#This Row],[EXACOD]])</f>
        <v>1</v>
      </c>
      <c r="H49" t="s">
        <v>737</v>
      </c>
      <c r="I49" t="s">
        <v>738</v>
      </c>
      <c r="J49" t="s">
        <v>77</v>
      </c>
    </row>
    <row r="50" spans="1:10" x14ac:dyDescent="0.35">
      <c r="A50" t="s">
        <v>743</v>
      </c>
      <c r="B50" t="s">
        <v>744</v>
      </c>
      <c r="C50" t="s">
        <v>745</v>
      </c>
      <c r="E50">
        <f>COUNTIF(EXAMENES[CODIGO],Consulta1[[#This Row],[EXACOD]])</f>
        <v>1</v>
      </c>
      <c r="H50" t="s">
        <v>741</v>
      </c>
      <c r="I50" t="s">
        <v>742</v>
      </c>
      <c r="J50" t="s">
        <v>77</v>
      </c>
    </row>
    <row r="51" spans="1:10" x14ac:dyDescent="0.35">
      <c r="A51" t="s">
        <v>94</v>
      </c>
      <c r="B51" s="20" t="s">
        <v>95</v>
      </c>
      <c r="C51" t="s">
        <v>77</v>
      </c>
      <c r="E51">
        <f>COUNTIF(EXAMENES[CODIGO],Consulta1[[#This Row],[EXACOD]])</f>
        <v>1</v>
      </c>
      <c r="H51" t="s">
        <v>671</v>
      </c>
      <c r="I51" t="s">
        <v>672</v>
      </c>
      <c r="J51" t="s">
        <v>77</v>
      </c>
    </row>
    <row r="52" spans="1:10" x14ac:dyDescent="0.35">
      <c r="A52" t="s">
        <v>144</v>
      </c>
      <c r="B52" t="s">
        <v>145</v>
      </c>
      <c r="C52" t="s">
        <v>77</v>
      </c>
      <c r="E52">
        <f>COUNTIF(EXAMENES[CODIGO],Consulta1[[#This Row],[EXACOD]])</f>
        <v>1</v>
      </c>
      <c r="H52" t="s">
        <v>596</v>
      </c>
      <c r="I52" t="s">
        <v>597</v>
      </c>
      <c r="J52" t="s">
        <v>77</v>
      </c>
    </row>
    <row r="53" spans="1:10" x14ac:dyDescent="0.35">
      <c r="A53" t="s">
        <v>100</v>
      </c>
      <c r="B53" t="s">
        <v>101</v>
      </c>
      <c r="C53" t="s">
        <v>77</v>
      </c>
      <c r="E53">
        <f>COUNTIF(EXAMENES[CODIGO],Consulta1[[#This Row],[EXACOD]])</f>
        <v>1</v>
      </c>
      <c r="H53" t="s">
        <v>613</v>
      </c>
      <c r="I53" t="s">
        <v>614</v>
      </c>
      <c r="J53" t="s">
        <v>77</v>
      </c>
    </row>
    <row r="54" spans="1:10" x14ac:dyDescent="0.35">
      <c r="A54" t="s">
        <v>102</v>
      </c>
      <c r="B54" t="s">
        <v>103</v>
      </c>
      <c r="C54" t="s">
        <v>77</v>
      </c>
      <c r="E54">
        <f>COUNTIF(EXAMENES[CODIGO],Consulta1[[#This Row],[EXACOD]])</f>
        <v>1</v>
      </c>
      <c r="H54" t="s">
        <v>649</v>
      </c>
      <c r="I54" t="s">
        <v>650</v>
      </c>
      <c r="J54" t="s">
        <v>77</v>
      </c>
    </row>
    <row r="55" spans="1:10" x14ac:dyDescent="0.35">
      <c r="A55" t="s">
        <v>108</v>
      </c>
      <c r="B55" t="s">
        <v>109</v>
      </c>
      <c r="C55" t="s">
        <v>77</v>
      </c>
      <c r="E55">
        <f>COUNTIF(EXAMENES[CODIGO],Consulta1[[#This Row],[EXACOD]])</f>
        <v>1</v>
      </c>
      <c r="H55" t="s">
        <v>655</v>
      </c>
      <c r="I55" t="s">
        <v>656</v>
      </c>
      <c r="J55" t="s">
        <v>77</v>
      </c>
    </row>
    <row r="56" spans="1:10" x14ac:dyDescent="0.35">
      <c r="A56" t="s">
        <v>106</v>
      </c>
      <c r="B56" t="s">
        <v>107</v>
      </c>
      <c r="C56" t="s">
        <v>77</v>
      </c>
      <c r="E56">
        <f>COUNTIF(EXAMENES[CODIGO],Consulta1[[#This Row],[EXACOD]])</f>
        <v>1</v>
      </c>
      <c r="H56" t="s">
        <v>701</v>
      </c>
      <c r="I56" t="s">
        <v>702</v>
      </c>
      <c r="J56" t="s">
        <v>77</v>
      </c>
    </row>
    <row r="57" spans="1:10" x14ac:dyDescent="0.35">
      <c r="A57" t="s">
        <v>873</v>
      </c>
      <c r="B57" t="s">
        <v>895</v>
      </c>
      <c r="C57" t="s">
        <v>77</v>
      </c>
      <c r="E57">
        <f>COUNTIF(EXAMENES[CODIGO],Consulta1[[#This Row],[EXACOD]])</f>
        <v>0</v>
      </c>
      <c r="H57" t="s">
        <v>735</v>
      </c>
      <c r="I57" t="s">
        <v>736</v>
      </c>
      <c r="J57" t="s">
        <v>77</v>
      </c>
    </row>
    <row r="58" spans="1:10" x14ac:dyDescent="0.35">
      <c r="A58" t="s">
        <v>986</v>
      </c>
      <c r="B58" t="s">
        <v>987</v>
      </c>
      <c r="C58" t="s">
        <v>77</v>
      </c>
      <c r="E58">
        <f>COUNTIF(EXAMENES[CODIGO],Consulta1[[#This Row],[EXACOD]])</f>
        <v>0</v>
      </c>
      <c r="H58" t="s">
        <v>130</v>
      </c>
      <c r="I58" t="s">
        <v>131</v>
      </c>
      <c r="J58" t="s">
        <v>77</v>
      </c>
    </row>
    <row r="59" spans="1:10" x14ac:dyDescent="0.35">
      <c r="A59" t="s">
        <v>134</v>
      </c>
      <c r="B59" t="s">
        <v>135</v>
      </c>
      <c r="C59" t="s">
        <v>77</v>
      </c>
      <c r="E59">
        <f>COUNTIF(EXAMENES[CODIGO],Consulta1[[#This Row],[EXACOD]])</f>
        <v>1</v>
      </c>
      <c r="H59" t="s">
        <v>707</v>
      </c>
      <c r="I59" t="s">
        <v>708</v>
      </c>
      <c r="J59" t="s">
        <v>77</v>
      </c>
    </row>
    <row r="60" spans="1:10" x14ac:dyDescent="0.35">
      <c r="A60" t="s">
        <v>868</v>
      </c>
      <c r="B60" t="s">
        <v>135</v>
      </c>
      <c r="C60" t="s">
        <v>77</v>
      </c>
      <c r="E60">
        <f>COUNTIF(EXAMENES[CODIGO],Consulta1[[#This Row],[EXACOD]])</f>
        <v>0</v>
      </c>
      <c r="H60" t="s">
        <v>94</v>
      </c>
      <c r="I60" t="s">
        <v>95</v>
      </c>
      <c r="J60" t="s">
        <v>77</v>
      </c>
    </row>
    <row r="61" spans="1:10" x14ac:dyDescent="0.35">
      <c r="A61" t="s">
        <v>629</v>
      </c>
      <c r="B61" t="s">
        <v>630</v>
      </c>
      <c r="C61" t="s">
        <v>77</v>
      </c>
      <c r="E61">
        <f>COUNTIF(EXAMENES[CODIGO],Consulta1[[#This Row],[EXACOD]])</f>
        <v>1</v>
      </c>
      <c r="H61" t="s">
        <v>108</v>
      </c>
      <c r="I61" t="s">
        <v>109</v>
      </c>
      <c r="J61" t="s">
        <v>77</v>
      </c>
    </row>
    <row r="62" spans="1:10" x14ac:dyDescent="0.35">
      <c r="A62" t="s">
        <v>649</v>
      </c>
      <c r="B62" t="s">
        <v>650</v>
      </c>
      <c r="C62" t="s">
        <v>77</v>
      </c>
      <c r="E62">
        <f>COUNTIF(EXAMENES[CODIGO],Consulta1[[#This Row],[EXACOD]])</f>
        <v>1</v>
      </c>
      <c r="H62" t="s">
        <v>631</v>
      </c>
      <c r="I62" t="s">
        <v>632</v>
      </c>
      <c r="J62" t="s">
        <v>77</v>
      </c>
    </row>
    <row r="63" spans="1:10" x14ac:dyDescent="0.35">
      <c r="A63" t="s">
        <v>637</v>
      </c>
      <c r="B63" t="s">
        <v>638</v>
      </c>
      <c r="C63" t="s">
        <v>77</v>
      </c>
      <c r="E63">
        <f>COUNTIF(EXAMENES[CODIGO],Consulta1[[#This Row],[EXACOD]])</f>
        <v>1</v>
      </c>
      <c r="H63" t="s">
        <v>665</v>
      </c>
      <c r="I63" t="s">
        <v>666</v>
      </c>
      <c r="J63" t="s">
        <v>77</v>
      </c>
    </row>
    <row r="64" spans="1:10" x14ac:dyDescent="0.35">
      <c r="A64" t="s">
        <v>717</v>
      </c>
      <c r="B64" t="s">
        <v>718</v>
      </c>
      <c r="C64" t="s">
        <v>77</v>
      </c>
      <c r="E64">
        <f>COUNTIF(EXAMENES[CODIGO],Consulta1[[#This Row],[EXACOD]])</f>
        <v>1</v>
      </c>
      <c r="H64" t="s">
        <v>679</v>
      </c>
      <c r="I64" t="s">
        <v>680</v>
      </c>
      <c r="J64" t="s">
        <v>77</v>
      </c>
    </row>
    <row r="65" spans="1:10" x14ac:dyDescent="0.35">
      <c r="A65" t="s">
        <v>699</v>
      </c>
      <c r="B65" t="s">
        <v>700</v>
      </c>
      <c r="C65" t="s">
        <v>77</v>
      </c>
      <c r="E65">
        <f>COUNTIF(EXAMENES[CODIGO],Consulta1[[#This Row],[EXACOD]])</f>
        <v>1</v>
      </c>
      <c r="H65" t="s">
        <v>683</v>
      </c>
      <c r="I65" t="s">
        <v>684</v>
      </c>
      <c r="J65" t="s">
        <v>77</v>
      </c>
    </row>
    <row r="66" spans="1:10" x14ac:dyDescent="0.35">
      <c r="A66" t="s">
        <v>631</v>
      </c>
      <c r="B66" t="s">
        <v>632</v>
      </c>
      <c r="C66" t="s">
        <v>77</v>
      </c>
      <c r="E66">
        <f>COUNTIF(EXAMENES[CODIGO],Consulta1[[#This Row],[EXACOD]])</f>
        <v>1</v>
      </c>
      <c r="H66" t="s">
        <v>689</v>
      </c>
      <c r="I66" t="s">
        <v>690</v>
      </c>
      <c r="J66" t="s">
        <v>77</v>
      </c>
    </row>
    <row r="67" spans="1:10" x14ac:dyDescent="0.35">
      <c r="A67" t="s">
        <v>655</v>
      </c>
      <c r="B67" t="s">
        <v>656</v>
      </c>
      <c r="C67" t="s">
        <v>77</v>
      </c>
      <c r="E67">
        <f>COUNTIF(EXAMENES[CODIGO],Consulta1[[#This Row],[EXACOD]])</f>
        <v>1</v>
      </c>
      <c r="H67" t="s">
        <v>713</v>
      </c>
      <c r="I67" t="s">
        <v>714</v>
      </c>
      <c r="J67" t="s">
        <v>77</v>
      </c>
    </row>
    <row r="68" spans="1:10" x14ac:dyDescent="0.35">
      <c r="A68" t="s">
        <v>719</v>
      </c>
      <c r="B68" t="s">
        <v>720</v>
      </c>
      <c r="C68" t="s">
        <v>77</v>
      </c>
      <c r="E68">
        <f>COUNTIF(EXAMENES[CODIGO],Consulta1[[#This Row],[EXACOD]])</f>
        <v>1</v>
      </c>
      <c r="H68" t="s">
        <v>719</v>
      </c>
      <c r="I68" t="s">
        <v>720</v>
      </c>
      <c r="J68" t="s">
        <v>77</v>
      </c>
    </row>
    <row r="69" spans="1:10" x14ac:dyDescent="0.35">
      <c r="A69" t="s">
        <v>701</v>
      </c>
      <c r="B69" t="s">
        <v>702</v>
      </c>
      <c r="C69" t="s">
        <v>77</v>
      </c>
      <c r="E69">
        <f>COUNTIF(EXAMENES[CODIGO],Consulta1[[#This Row],[EXACOD]])</f>
        <v>1</v>
      </c>
      <c r="H69" t="s">
        <v>739</v>
      </c>
      <c r="I69" t="s">
        <v>740</v>
      </c>
      <c r="J69" t="s">
        <v>77</v>
      </c>
    </row>
    <row r="70" spans="1:10" x14ac:dyDescent="0.35">
      <c r="A70" t="s">
        <v>663</v>
      </c>
      <c r="B70" t="s">
        <v>664</v>
      </c>
      <c r="C70" t="s">
        <v>77</v>
      </c>
      <c r="E70">
        <f>COUNTIF(EXAMENES[CODIGO],Consulta1[[#This Row],[EXACOD]])</f>
        <v>1</v>
      </c>
      <c r="H70" t="s">
        <v>752</v>
      </c>
      <c r="I70" t="s">
        <v>753</v>
      </c>
      <c r="J70" t="s">
        <v>77</v>
      </c>
    </row>
    <row r="71" spans="1:10" x14ac:dyDescent="0.35">
      <c r="A71" t="s">
        <v>691</v>
      </c>
      <c r="B71" t="s">
        <v>692</v>
      </c>
      <c r="C71" t="s">
        <v>77</v>
      </c>
      <c r="E71">
        <f>COUNTIF(EXAMENES[CODIGO],Consulta1[[#This Row],[EXACOD]])</f>
        <v>1</v>
      </c>
      <c r="H71" t="s">
        <v>96</v>
      </c>
      <c r="I71" t="s">
        <v>97</v>
      </c>
      <c r="J71" t="s">
        <v>77</v>
      </c>
    </row>
    <row r="72" spans="1:10" x14ac:dyDescent="0.35">
      <c r="A72" t="s">
        <v>623</v>
      </c>
      <c r="B72" t="s">
        <v>624</v>
      </c>
      <c r="C72" t="s">
        <v>77</v>
      </c>
      <c r="E72">
        <f>COUNTIF(EXAMENES[CODIGO],Consulta1[[#This Row],[EXACOD]])</f>
        <v>1</v>
      </c>
      <c r="H72" t="s">
        <v>524</v>
      </c>
      <c r="I72" t="s">
        <v>525</v>
      </c>
      <c r="J72" t="s">
        <v>77</v>
      </c>
    </row>
    <row r="73" spans="1:10" x14ac:dyDescent="0.35">
      <c r="A73" t="s">
        <v>643</v>
      </c>
      <c r="B73" t="s">
        <v>644</v>
      </c>
      <c r="C73" t="s">
        <v>77</v>
      </c>
      <c r="E73">
        <f>COUNTIF(EXAMENES[CODIGO],Consulta1[[#This Row],[EXACOD]])</f>
        <v>1</v>
      </c>
      <c r="H73" t="s">
        <v>623</v>
      </c>
      <c r="I73" t="s">
        <v>624</v>
      </c>
      <c r="J73" t="s">
        <v>77</v>
      </c>
    </row>
    <row r="74" spans="1:10" x14ac:dyDescent="0.35">
      <c r="A74" t="s">
        <v>665</v>
      </c>
      <c r="B74" t="s">
        <v>666</v>
      </c>
      <c r="C74" t="s">
        <v>77</v>
      </c>
      <c r="E74">
        <f>COUNTIF(EXAMENES[CODIGO],Consulta1[[#This Row],[EXACOD]])</f>
        <v>1</v>
      </c>
      <c r="H74" t="s">
        <v>625</v>
      </c>
      <c r="I74" t="s">
        <v>626</v>
      </c>
      <c r="J74" t="s">
        <v>77</v>
      </c>
    </row>
    <row r="75" spans="1:10" x14ac:dyDescent="0.35">
      <c r="A75" t="s">
        <v>645</v>
      </c>
      <c r="B75" t="s">
        <v>646</v>
      </c>
      <c r="C75" t="s">
        <v>77</v>
      </c>
      <c r="E75">
        <f>COUNTIF(EXAMENES[CODIGO],Consulta1[[#This Row],[EXACOD]])</f>
        <v>1</v>
      </c>
      <c r="H75" t="s">
        <v>647</v>
      </c>
      <c r="I75" t="s">
        <v>648</v>
      </c>
      <c r="J75" t="s">
        <v>77</v>
      </c>
    </row>
    <row r="76" spans="1:10" x14ac:dyDescent="0.35">
      <c r="A76" t="s">
        <v>689</v>
      </c>
      <c r="B76" t="s">
        <v>690</v>
      </c>
      <c r="C76" t="s">
        <v>77</v>
      </c>
      <c r="E76">
        <f>COUNTIF(EXAMENES[CODIGO],Consulta1[[#This Row],[EXACOD]])</f>
        <v>1</v>
      </c>
      <c r="H76" t="s">
        <v>657</v>
      </c>
      <c r="I76" t="s">
        <v>658</v>
      </c>
      <c r="J76" t="s">
        <v>77</v>
      </c>
    </row>
    <row r="77" spans="1:10" x14ac:dyDescent="0.35">
      <c r="A77" t="s">
        <v>687</v>
      </c>
      <c r="B77" t="s">
        <v>688</v>
      </c>
      <c r="C77" t="s">
        <v>77</v>
      </c>
      <c r="E77">
        <f>COUNTIF(EXAMENES[CODIGO],Consulta1[[#This Row],[EXACOD]])</f>
        <v>1</v>
      </c>
      <c r="H77" t="s">
        <v>669</v>
      </c>
      <c r="I77" t="s">
        <v>670</v>
      </c>
      <c r="J77" t="s">
        <v>77</v>
      </c>
    </row>
    <row r="78" spans="1:10" x14ac:dyDescent="0.35">
      <c r="A78" t="s">
        <v>683</v>
      </c>
      <c r="B78" t="s">
        <v>684</v>
      </c>
      <c r="C78" t="s">
        <v>77</v>
      </c>
      <c r="E78">
        <f>COUNTIF(EXAMENES[CODIGO],Consulta1[[#This Row],[EXACOD]])</f>
        <v>1</v>
      </c>
      <c r="H78" t="s">
        <v>675</v>
      </c>
      <c r="I78" t="s">
        <v>676</v>
      </c>
      <c r="J78" t="s">
        <v>77</v>
      </c>
    </row>
    <row r="79" spans="1:10" x14ac:dyDescent="0.35">
      <c r="A79" t="s">
        <v>681</v>
      </c>
      <c r="B79" t="s">
        <v>682</v>
      </c>
      <c r="C79" t="s">
        <v>77</v>
      </c>
      <c r="E79">
        <f>COUNTIF(EXAMENES[CODIGO],Consulta1[[#This Row],[EXACOD]])</f>
        <v>1</v>
      </c>
      <c r="H79" t="s">
        <v>681</v>
      </c>
      <c r="I79" t="s">
        <v>682</v>
      </c>
      <c r="J79" t="s">
        <v>77</v>
      </c>
    </row>
    <row r="80" spans="1:10" x14ac:dyDescent="0.35">
      <c r="A80" t="s">
        <v>679</v>
      </c>
      <c r="B80" t="s">
        <v>680</v>
      </c>
      <c r="C80" t="s">
        <v>77</v>
      </c>
      <c r="E80">
        <f>COUNTIF(EXAMENES[CODIGO],Consulta1[[#This Row],[EXACOD]])</f>
        <v>1</v>
      </c>
      <c r="H80" t="s">
        <v>693</v>
      </c>
      <c r="I80" t="s">
        <v>694</v>
      </c>
      <c r="J80" t="s">
        <v>77</v>
      </c>
    </row>
    <row r="81" spans="1:10" x14ac:dyDescent="0.35">
      <c r="A81" t="s">
        <v>651</v>
      </c>
      <c r="B81" t="s">
        <v>652</v>
      </c>
      <c r="C81" t="s">
        <v>77</v>
      </c>
      <c r="E81">
        <f>COUNTIF(EXAMENES[CODIGO],Consulta1[[#This Row],[EXACOD]])</f>
        <v>1</v>
      </c>
      <c r="H81" t="s">
        <v>699</v>
      </c>
      <c r="I81" t="s">
        <v>700</v>
      </c>
      <c r="J81" t="s">
        <v>77</v>
      </c>
    </row>
    <row r="82" spans="1:10" x14ac:dyDescent="0.35">
      <c r="A82" t="s">
        <v>657</v>
      </c>
      <c r="B82" t="s">
        <v>658</v>
      </c>
      <c r="C82" t="s">
        <v>77</v>
      </c>
      <c r="E82">
        <f>COUNTIF(EXAMENES[CODIGO],Consulta1[[#This Row],[EXACOD]])</f>
        <v>1</v>
      </c>
      <c r="H82" t="s">
        <v>717</v>
      </c>
      <c r="I82" t="s">
        <v>718</v>
      </c>
      <c r="J82" t="s">
        <v>77</v>
      </c>
    </row>
    <row r="83" spans="1:10" x14ac:dyDescent="0.35">
      <c r="A83" t="s">
        <v>641</v>
      </c>
      <c r="B83" t="s">
        <v>642</v>
      </c>
      <c r="C83" t="s">
        <v>77</v>
      </c>
      <c r="E83">
        <f>COUNTIF(EXAMENES[CODIGO],Consulta1[[#This Row],[EXACOD]])</f>
        <v>1</v>
      </c>
      <c r="H83" t="s">
        <v>723</v>
      </c>
      <c r="I83" t="s">
        <v>724</v>
      </c>
      <c r="J83" t="s">
        <v>77</v>
      </c>
    </row>
    <row r="84" spans="1:10" x14ac:dyDescent="0.35">
      <c r="A84" t="s">
        <v>739</v>
      </c>
      <c r="B84" t="s">
        <v>740</v>
      </c>
      <c r="C84" t="s">
        <v>77</v>
      </c>
      <c r="E84">
        <f>COUNTIF(EXAMENES[CODIGO],Consulta1[[#This Row],[EXACOD]])</f>
        <v>1</v>
      </c>
      <c r="H84" t="s">
        <v>727</v>
      </c>
      <c r="I84" t="s">
        <v>728</v>
      </c>
      <c r="J84" t="s">
        <v>77</v>
      </c>
    </row>
    <row r="85" spans="1:10" x14ac:dyDescent="0.35">
      <c r="A85" t="s">
        <v>737</v>
      </c>
      <c r="B85" t="s">
        <v>738</v>
      </c>
      <c r="C85" t="s">
        <v>77</v>
      </c>
      <c r="E85">
        <f>COUNTIF(EXAMENES[CODIGO],Consulta1[[#This Row],[EXACOD]])</f>
        <v>1</v>
      </c>
      <c r="H85" t="s">
        <v>100</v>
      </c>
      <c r="I85" t="s">
        <v>101</v>
      </c>
      <c r="J85" t="s">
        <v>77</v>
      </c>
    </row>
    <row r="86" spans="1:10" x14ac:dyDescent="0.35">
      <c r="A86" t="s">
        <v>647</v>
      </c>
      <c r="B86" t="s">
        <v>648</v>
      </c>
      <c r="C86" t="s">
        <v>77</v>
      </c>
      <c r="E86">
        <f>COUNTIF(EXAMENES[CODIGO],Consulta1[[#This Row],[EXACOD]])</f>
        <v>1</v>
      </c>
      <c r="H86" t="s">
        <v>514</v>
      </c>
      <c r="I86" t="s">
        <v>515</v>
      </c>
      <c r="J86" t="s">
        <v>77</v>
      </c>
    </row>
    <row r="87" spans="1:10" x14ac:dyDescent="0.35">
      <c r="A87" t="s">
        <v>725</v>
      </c>
      <c r="B87" t="s">
        <v>726</v>
      </c>
      <c r="C87" t="s">
        <v>77</v>
      </c>
      <c r="E87">
        <f>COUNTIF(EXAMENES[CODIGO],Consulta1[[#This Row],[EXACOD]])</f>
        <v>1</v>
      </c>
      <c r="H87" t="s">
        <v>570</v>
      </c>
      <c r="I87" t="s">
        <v>571</v>
      </c>
      <c r="J87" t="s">
        <v>77</v>
      </c>
    </row>
    <row r="88" spans="1:10" x14ac:dyDescent="0.35">
      <c r="A88" t="s">
        <v>721</v>
      </c>
      <c r="B88" t="s">
        <v>722</v>
      </c>
      <c r="C88" t="s">
        <v>77</v>
      </c>
      <c r="E88">
        <f>COUNTIF(EXAMENES[CODIGO],Consulta1[[#This Row],[EXACOD]])</f>
        <v>1</v>
      </c>
      <c r="H88" t="s">
        <v>703</v>
      </c>
      <c r="I88" t="s">
        <v>704</v>
      </c>
      <c r="J88" t="s">
        <v>77</v>
      </c>
    </row>
    <row r="89" spans="1:10" x14ac:dyDescent="0.35">
      <c r="A89" t="s">
        <v>707</v>
      </c>
      <c r="B89" t="s">
        <v>708</v>
      </c>
      <c r="C89" t="s">
        <v>77</v>
      </c>
      <c r="E89">
        <f>COUNTIF(EXAMENES[CODIGO],Consulta1[[#This Row],[EXACOD]])</f>
        <v>1</v>
      </c>
      <c r="H89" t="s">
        <v>663</v>
      </c>
      <c r="I89" t="s">
        <v>664</v>
      </c>
      <c r="J89" t="s">
        <v>77</v>
      </c>
    </row>
    <row r="90" spans="1:10" x14ac:dyDescent="0.35">
      <c r="A90" t="s">
        <v>703</v>
      </c>
      <c r="B90" t="s">
        <v>704</v>
      </c>
      <c r="C90" t="s">
        <v>77</v>
      </c>
      <c r="E90">
        <f>COUNTIF(EXAMENES[CODIGO],Consulta1[[#This Row],[EXACOD]])</f>
        <v>1</v>
      </c>
      <c r="H90" t="s">
        <v>687</v>
      </c>
      <c r="I90" t="s">
        <v>688</v>
      </c>
      <c r="J90" t="s">
        <v>77</v>
      </c>
    </row>
    <row r="91" spans="1:10" x14ac:dyDescent="0.35">
      <c r="A91" t="s">
        <v>633</v>
      </c>
      <c r="B91" t="s">
        <v>634</v>
      </c>
      <c r="C91" t="s">
        <v>77</v>
      </c>
      <c r="E91">
        <f>COUNTIF(EXAMENES[CODIGO],Consulta1[[#This Row],[EXACOD]])</f>
        <v>1</v>
      </c>
      <c r="H91" t="s">
        <v>144</v>
      </c>
      <c r="I91" t="s">
        <v>145</v>
      </c>
      <c r="J91" t="s">
        <v>77</v>
      </c>
    </row>
    <row r="92" spans="1:10" x14ac:dyDescent="0.35">
      <c r="A92" t="s">
        <v>635</v>
      </c>
      <c r="B92" t="s">
        <v>636</v>
      </c>
      <c r="C92" t="s">
        <v>77</v>
      </c>
      <c r="E92">
        <f>COUNTIF(EXAMENES[CODIGO],Consulta1[[#This Row],[EXACOD]])</f>
        <v>1</v>
      </c>
      <c r="H92" t="s">
        <v>102</v>
      </c>
      <c r="I92" t="s">
        <v>103</v>
      </c>
      <c r="J92" t="s">
        <v>77</v>
      </c>
    </row>
    <row r="93" spans="1:10" x14ac:dyDescent="0.35">
      <c r="A93" t="s">
        <v>673</v>
      </c>
      <c r="B93" t="s">
        <v>674</v>
      </c>
      <c r="C93" t="s">
        <v>77</v>
      </c>
      <c r="E93">
        <f>COUNTIF(EXAMENES[CODIGO],Consulta1[[#This Row],[EXACOD]])</f>
        <v>1</v>
      </c>
      <c r="H93" t="s">
        <v>520</v>
      </c>
      <c r="I93" t="s">
        <v>521</v>
      </c>
      <c r="J93" t="s">
        <v>77</v>
      </c>
    </row>
    <row r="94" spans="1:10" x14ac:dyDescent="0.35">
      <c r="A94" t="s">
        <v>727</v>
      </c>
      <c r="B94" t="s">
        <v>728</v>
      </c>
      <c r="C94" t="s">
        <v>77</v>
      </c>
      <c r="E94">
        <f>COUNTIF(EXAMENES[CODIGO],Consulta1[[#This Row],[EXACOD]])</f>
        <v>1</v>
      </c>
      <c r="H94" t="s">
        <v>608</v>
      </c>
      <c r="I94" t="s">
        <v>609</v>
      </c>
      <c r="J94" t="s">
        <v>77</v>
      </c>
    </row>
    <row r="95" spans="1:10" x14ac:dyDescent="0.35">
      <c r="A95" t="s">
        <v>709</v>
      </c>
      <c r="B95" t="s">
        <v>710</v>
      </c>
      <c r="C95" t="s">
        <v>77</v>
      </c>
      <c r="E95">
        <f>COUNTIF(EXAMENES[CODIGO],Consulta1[[#This Row],[EXACOD]])</f>
        <v>1</v>
      </c>
      <c r="H95" t="s">
        <v>627</v>
      </c>
      <c r="I95" t="s">
        <v>628</v>
      </c>
      <c r="J95" t="s">
        <v>77</v>
      </c>
    </row>
    <row r="96" spans="1:10" x14ac:dyDescent="0.35">
      <c r="A96" t="s">
        <v>705</v>
      </c>
      <c r="B96" t="s">
        <v>706</v>
      </c>
      <c r="C96" t="s">
        <v>77</v>
      </c>
      <c r="E96">
        <f>COUNTIF(EXAMENES[CODIGO],Consulta1[[#This Row],[EXACOD]])</f>
        <v>1</v>
      </c>
      <c r="H96" t="s">
        <v>635</v>
      </c>
      <c r="I96" t="s">
        <v>636</v>
      </c>
      <c r="J96" t="s">
        <v>77</v>
      </c>
    </row>
    <row r="97" spans="1:10" x14ac:dyDescent="0.35">
      <c r="A97" t="s">
        <v>627</v>
      </c>
      <c r="B97" t="s">
        <v>628</v>
      </c>
      <c r="C97" t="s">
        <v>77</v>
      </c>
      <c r="E97">
        <f>COUNTIF(EXAMENES[CODIGO],Consulta1[[#This Row],[EXACOD]])</f>
        <v>1</v>
      </c>
      <c r="H97" t="s">
        <v>651</v>
      </c>
      <c r="I97" t="s">
        <v>652</v>
      </c>
      <c r="J97" t="s">
        <v>77</v>
      </c>
    </row>
    <row r="98" spans="1:10" x14ac:dyDescent="0.35">
      <c r="A98" t="s">
        <v>625</v>
      </c>
      <c r="B98" t="s">
        <v>626</v>
      </c>
      <c r="C98" t="s">
        <v>77</v>
      </c>
      <c r="E98">
        <f>COUNTIF(EXAMENES[CODIGO],Consulta1[[#This Row],[EXACOD]])</f>
        <v>1</v>
      </c>
      <c r="H98" t="s">
        <v>661</v>
      </c>
      <c r="I98" t="s">
        <v>662</v>
      </c>
      <c r="J98" t="s">
        <v>77</v>
      </c>
    </row>
    <row r="99" spans="1:10" x14ac:dyDescent="0.35">
      <c r="A99" t="s">
        <v>675</v>
      </c>
      <c r="B99" t="s">
        <v>676</v>
      </c>
      <c r="C99" t="s">
        <v>77</v>
      </c>
      <c r="E99">
        <f>COUNTIF(EXAMENES[CODIGO],Consulta1[[#This Row],[EXACOD]])</f>
        <v>1</v>
      </c>
      <c r="H99" t="s">
        <v>667</v>
      </c>
      <c r="I99" t="s">
        <v>668</v>
      </c>
      <c r="J99" t="s">
        <v>77</v>
      </c>
    </row>
    <row r="100" spans="1:10" x14ac:dyDescent="0.35">
      <c r="A100" t="s">
        <v>685</v>
      </c>
      <c r="B100" t="s">
        <v>686</v>
      </c>
      <c r="C100" t="s">
        <v>77</v>
      </c>
      <c r="E100">
        <f>COUNTIF(EXAMENES[CODIGO],Consulta1[[#This Row],[EXACOD]])</f>
        <v>1</v>
      </c>
      <c r="H100" t="s">
        <v>715</v>
      </c>
      <c r="I100" t="s">
        <v>716</v>
      </c>
      <c r="J100" t="s">
        <v>77</v>
      </c>
    </row>
    <row r="101" spans="1:10" x14ac:dyDescent="0.35">
      <c r="A101" t="s">
        <v>653</v>
      </c>
      <c r="B101" t="s">
        <v>654</v>
      </c>
      <c r="C101" t="s">
        <v>77</v>
      </c>
      <c r="E101">
        <f>COUNTIF(EXAMENES[CODIGO],Consulta1[[#This Row],[EXACOD]])</f>
        <v>1</v>
      </c>
      <c r="H101" t="s">
        <v>731</v>
      </c>
      <c r="I101" t="s">
        <v>732</v>
      </c>
      <c r="J101" t="s">
        <v>77</v>
      </c>
    </row>
    <row r="102" spans="1:10" x14ac:dyDescent="0.35">
      <c r="A102" t="s">
        <v>639</v>
      </c>
      <c r="B102" t="s">
        <v>640</v>
      </c>
      <c r="C102" t="s">
        <v>77</v>
      </c>
      <c r="E102">
        <f>COUNTIF(EXAMENES[CODIGO],Consulta1[[#This Row],[EXACOD]])</f>
        <v>1</v>
      </c>
      <c r="H102" t="s">
        <v>733</v>
      </c>
      <c r="I102" t="s">
        <v>734</v>
      </c>
      <c r="J102" t="s">
        <v>77</v>
      </c>
    </row>
    <row r="103" spans="1:10" x14ac:dyDescent="0.35">
      <c r="A103" t="s">
        <v>723</v>
      </c>
      <c r="B103" t="s">
        <v>724</v>
      </c>
      <c r="C103" t="s">
        <v>77</v>
      </c>
      <c r="E103">
        <f>COUNTIF(EXAMENES[CODIGO],Consulta1[[#This Row],[EXACOD]])</f>
        <v>1</v>
      </c>
      <c r="H103" t="s">
        <v>568</v>
      </c>
      <c r="I103" t="s">
        <v>569</v>
      </c>
      <c r="J103" t="s">
        <v>77</v>
      </c>
    </row>
    <row r="104" spans="1:10" x14ac:dyDescent="0.35">
      <c r="A104" t="s">
        <v>677</v>
      </c>
      <c r="B104" t="s">
        <v>678</v>
      </c>
      <c r="C104" t="s">
        <v>77</v>
      </c>
      <c r="E104">
        <f>COUNTIF(EXAMENES[CODIGO],Consulta1[[#This Row],[EXACOD]])</f>
        <v>1</v>
      </c>
      <c r="H104" t="s">
        <v>584</v>
      </c>
      <c r="I104" t="s">
        <v>585</v>
      </c>
      <c r="J104" t="s">
        <v>77</v>
      </c>
    </row>
    <row r="105" spans="1:10" x14ac:dyDescent="0.35">
      <c r="A105" t="s">
        <v>130</v>
      </c>
      <c r="B105" t="s">
        <v>894</v>
      </c>
      <c r="C105" t="s">
        <v>77</v>
      </c>
      <c r="E105">
        <f>COUNTIF(EXAMENES[CODIGO],Consulta1[[#This Row],[EXACOD]])</f>
        <v>1</v>
      </c>
      <c r="H105" t="s">
        <v>610</v>
      </c>
      <c r="I105" t="s">
        <v>131</v>
      </c>
      <c r="J105" t="s">
        <v>77</v>
      </c>
    </row>
    <row r="106" spans="1:10" x14ac:dyDescent="0.35">
      <c r="A106" t="s">
        <v>610</v>
      </c>
      <c r="B106" t="s">
        <v>131</v>
      </c>
      <c r="C106" t="s">
        <v>77</v>
      </c>
      <c r="E106">
        <f>COUNTIF(EXAMENES[CODIGO],Consulta1[[#This Row],[EXACOD]])</f>
        <v>1</v>
      </c>
      <c r="H106" t="s">
        <v>709</v>
      </c>
      <c r="I106" t="s">
        <v>710</v>
      </c>
      <c r="J106" t="s">
        <v>77</v>
      </c>
    </row>
    <row r="107" spans="1:10" x14ac:dyDescent="0.35">
      <c r="A107" t="s">
        <v>96</v>
      </c>
      <c r="B107" t="s">
        <v>97</v>
      </c>
      <c r="C107" t="s">
        <v>77</v>
      </c>
      <c r="E107">
        <f>COUNTIF(EXAMENES[CODIGO],Consulta1[[#This Row],[EXACOD]])</f>
        <v>1</v>
      </c>
      <c r="H107" t="s">
        <v>639</v>
      </c>
      <c r="I107" t="s">
        <v>640</v>
      </c>
      <c r="J107" t="s">
        <v>77</v>
      </c>
    </row>
    <row r="108" spans="1:10" x14ac:dyDescent="0.35">
      <c r="A108" t="s">
        <v>615</v>
      </c>
      <c r="B108" t="s">
        <v>616</v>
      </c>
      <c r="C108" t="s">
        <v>77</v>
      </c>
      <c r="E108">
        <f>COUNTIF(EXAMENES[CODIGO],Consulta1[[#This Row],[EXACOD]])</f>
        <v>1</v>
      </c>
      <c r="H108" t="s">
        <v>645</v>
      </c>
      <c r="I108" t="s">
        <v>646</v>
      </c>
      <c r="J108" t="s">
        <v>77</v>
      </c>
    </row>
    <row r="109" spans="1:10" x14ac:dyDescent="0.35">
      <c r="A109" t="s">
        <v>608</v>
      </c>
      <c r="B109" t="s">
        <v>609</v>
      </c>
      <c r="C109" t="s">
        <v>77</v>
      </c>
      <c r="E109">
        <f>COUNTIF(EXAMENES[CODIGO],Consulta1[[#This Row],[EXACOD]])</f>
        <v>1</v>
      </c>
      <c r="H109" t="s">
        <v>659</v>
      </c>
      <c r="I109" t="s">
        <v>660</v>
      </c>
      <c r="J109" t="s">
        <v>77</v>
      </c>
    </row>
    <row r="110" spans="1:10" x14ac:dyDescent="0.35">
      <c r="A110" t="s">
        <v>613</v>
      </c>
      <c r="B110" t="s">
        <v>614</v>
      </c>
      <c r="C110" t="s">
        <v>77</v>
      </c>
      <c r="E110">
        <f>COUNTIF(EXAMENES[CODIGO],Consulta1[[#This Row],[EXACOD]])</f>
        <v>1</v>
      </c>
      <c r="H110" t="s">
        <v>673</v>
      </c>
      <c r="I110" t="s">
        <v>674</v>
      </c>
      <c r="J110" t="s">
        <v>77</v>
      </c>
    </row>
    <row r="111" spans="1:10" x14ac:dyDescent="0.35">
      <c r="A111" t="s">
        <v>514</v>
      </c>
      <c r="B111" t="s">
        <v>515</v>
      </c>
      <c r="C111" t="s">
        <v>77</v>
      </c>
      <c r="E111">
        <f>COUNTIF(EXAMENES[CODIGO],Consulta1[[#This Row],[EXACOD]])</f>
        <v>1</v>
      </c>
      <c r="H111" t="s">
        <v>677</v>
      </c>
      <c r="I111" t="s">
        <v>678</v>
      </c>
      <c r="J111" t="s">
        <v>77</v>
      </c>
    </row>
    <row r="112" spans="1:10" x14ac:dyDescent="0.35">
      <c r="A112" t="s">
        <v>733</v>
      </c>
      <c r="B112" t="s">
        <v>734</v>
      </c>
      <c r="C112" t="s">
        <v>77</v>
      </c>
      <c r="E112">
        <f>COUNTIF(EXAMENES[CODIGO],Consulta1[[#This Row],[EXACOD]])</f>
        <v>1</v>
      </c>
      <c r="H112" t="s">
        <v>685</v>
      </c>
      <c r="I112" t="s">
        <v>686</v>
      </c>
      <c r="J112" t="s">
        <v>77</v>
      </c>
    </row>
    <row r="113" spans="1:10" x14ac:dyDescent="0.35">
      <c r="A113" t="s">
        <v>735</v>
      </c>
      <c r="B113" t="s">
        <v>736</v>
      </c>
      <c r="C113" t="s">
        <v>77</v>
      </c>
      <c r="E113">
        <f>COUNTIF(EXAMENES[CODIGO],Consulta1[[#This Row],[EXACOD]])</f>
        <v>1</v>
      </c>
      <c r="H113" t="s">
        <v>721</v>
      </c>
      <c r="I113" t="s">
        <v>722</v>
      </c>
      <c r="J113" t="s">
        <v>77</v>
      </c>
    </row>
    <row r="114" spans="1:10" x14ac:dyDescent="0.35">
      <c r="A114" t="s">
        <v>741</v>
      </c>
      <c r="B114" t="s">
        <v>742</v>
      </c>
      <c r="C114" t="s">
        <v>77</v>
      </c>
      <c r="E114">
        <f>COUNTIF(EXAMENES[CODIGO],Consulta1[[#This Row],[EXACOD]])</f>
        <v>1</v>
      </c>
      <c r="H114" t="s">
        <v>615</v>
      </c>
      <c r="I114" t="s">
        <v>616</v>
      </c>
      <c r="J114" t="s">
        <v>77</v>
      </c>
    </row>
    <row r="115" spans="1:10" x14ac:dyDescent="0.35">
      <c r="A115" t="s">
        <v>695</v>
      </c>
      <c r="B115" t="s">
        <v>696</v>
      </c>
      <c r="C115" t="s">
        <v>77</v>
      </c>
      <c r="E115">
        <f>COUNTIF(EXAMENES[CODIGO],Consulta1[[#This Row],[EXACOD]])</f>
        <v>1</v>
      </c>
      <c r="H115" t="s">
        <v>588</v>
      </c>
      <c r="I115" t="s">
        <v>589</v>
      </c>
      <c r="J115" t="s">
        <v>77</v>
      </c>
    </row>
    <row r="116" spans="1:10" x14ac:dyDescent="0.35">
      <c r="A116" t="s">
        <v>693</v>
      </c>
      <c r="B116" t="s">
        <v>694</v>
      </c>
      <c r="C116" t="s">
        <v>77</v>
      </c>
      <c r="E116">
        <f>COUNTIF(EXAMENES[CODIGO],Consulta1[[#This Row],[EXACOD]])</f>
        <v>1</v>
      </c>
      <c r="H116" t="s">
        <v>637</v>
      </c>
      <c r="I116" t="s">
        <v>638</v>
      </c>
      <c r="J116" t="s">
        <v>77</v>
      </c>
    </row>
    <row r="117" spans="1:10" x14ac:dyDescent="0.35">
      <c r="A117" t="s">
        <v>715</v>
      </c>
      <c r="B117" t="s">
        <v>716</v>
      </c>
      <c r="C117" t="s">
        <v>77</v>
      </c>
      <c r="E117">
        <f>COUNTIF(EXAMENES[CODIGO],Consulta1[[#This Row],[EXACOD]])</f>
        <v>1</v>
      </c>
      <c r="H117" t="s">
        <v>643</v>
      </c>
      <c r="I117" t="s">
        <v>644</v>
      </c>
      <c r="J117" t="s">
        <v>77</v>
      </c>
    </row>
    <row r="118" spans="1:10" x14ac:dyDescent="0.35">
      <c r="A118" t="s">
        <v>711</v>
      </c>
      <c r="B118" t="s">
        <v>712</v>
      </c>
      <c r="C118" t="s">
        <v>77</v>
      </c>
      <c r="E118">
        <f>COUNTIF(EXAMENES[CODIGO],Consulta1[[#This Row],[EXACOD]])</f>
        <v>1</v>
      </c>
      <c r="H118" t="s">
        <v>691</v>
      </c>
      <c r="I118" t="s">
        <v>692</v>
      </c>
      <c r="J118" t="s">
        <v>77</v>
      </c>
    </row>
    <row r="119" spans="1:10" x14ac:dyDescent="0.35">
      <c r="A119" t="s">
        <v>667</v>
      </c>
      <c r="B119" t="s">
        <v>668</v>
      </c>
      <c r="C119" t="s">
        <v>77</v>
      </c>
      <c r="E119">
        <f>COUNTIF(EXAMENES[CODIGO],Consulta1[[#This Row],[EXACOD]])</f>
        <v>1</v>
      </c>
      <c r="H119" t="s">
        <v>695</v>
      </c>
      <c r="I119" t="s">
        <v>696</v>
      </c>
      <c r="J119" t="s">
        <v>77</v>
      </c>
    </row>
    <row r="120" spans="1:10" x14ac:dyDescent="0.35">
      <c r="A120" t="s">
        <v>661</v>
      </c>
      <c r="B120" t="s">
        <v>662</v>
      </c>
      <c r="C120" t="s">
        <v>77</v>
      </c>
      <c r="E120">
        <f>COUNTIF(EXAMENES[CODIGO],Consulta1[[#This Row],[EXACOD]])</f>
        <v>1</v>
      </c>
      <c r="H120" t="s">
        <v>697</v>
      </c>
      <c r="I120" t="s">
        <v>698</v>
      </c>
      <c r="J120" t="s">
        <v>77</v>
      </c>
    </row>
    <row r="121" spans="1:10" x14ac:dyDescent="0.35">
      <c r="A121" t="s">
        <v>659</v>
      </c>
      <c r="B121" t="s">
        <v>660</v>
      </c>
      <c r="C121" t="s">
        <v>77</v>
      </c>
      <c r="E121">
        <f>COUNTIF(EXAMENES[CODIGO],Consulta1[[#This Row],[EXACOD]])</f>
        <v>1</v>
      </c>
      <c r="H121" t="s">
        <v>725</v>
      </c>
      <c r="I121" t="s">
        <v>726</v>
      </c>
      <c r="J121" t="s">
        <v>77</v>
      </c>
    </row>
    <row r="122" spans="1:10" x14ac:dyDescent="0.35">
      <c r="A122" t="s">
        <v>713</v>
      </c>
      <c r="B122" t="s">
        <v>714</v>
      </c>
      <c r="C122" t="s">
        <v>77</v>
      </c>
      <c r="E122">
        <f>COUNTIF(EXAMENES[CODIGO],Consulta1[[#This Row],[EXACOD]])</f>
        <v>1</v>
      </c>
      <c r="H122" t="s">
        <v>754</v>
      </c>
      <c r="I122" t="s">
        <v>755</v>
      </c>
      <c r="J122" t="s">
        <v>77</v>
      </c>
    </row>
    <row r="123" spans="1:10" x14ac:dyDescent="0.35">
      <c r="A123" t="s">
        <v>697</v>
      </c>
      <c r="B123" t="s">
        <v>698</v>
      </c>
      <c r="C123" t="s">
        <v>77</v>
      </c>
      <c r="E123">
        <f>COUNTIF(EXAMENES[CODIGO],Consulta1[[#This Row],[EXACOD]])</f>
        <v>1</v>
      </c>
      <c r="H123" t="s">
        <v>629</v>
      </c>
      <c r="I123" t="s">
        <v>630</v>
      </c>
      <c r="J123" t="s">
        <v>77</v>
      </c>
    </row>
    <row r="124" spans="1:10" x14ac:dyDescent="0.35">
      <c r="A124" t="s">
        <v>568</v>
      </c>
      <c r="B124" t="s">
        <v>569</v>
      </c>
      <c r="C124" t="s">
        <v>77</v>
      </c>
      <c r="E124">
        <f>COUNTIF(EXAMENES[CODIGO],Consulta1[[#This Row],[EXACOD]])</f>
        <v>1</v>
      </c>
      <c r="H124" t="s">
        <v>800</v>
      </c>
      <c r="I124" t="s">
        <v>801</v>
      </c>
      <c r="J124" t="s">
        <v>5</v>
      </c>
    </row>
    <row r="125" spans="1:10" x14ac:dyDescent="0.35">
      <c r="A125" t="s">
        <v>671</v>
      </c>
      <c r="B125" t="s">
        <v>672</v>
      </c>
      <c r="C125" t="s">
        <v>77</v>
      </c>
      <c r="E125">
        <f>COUNTIF(EXAMENES[CODIGO],Consulta1[[#This Row],[EXACOD]])</f>
        <v>1</v>
      </c>
      <c r="H125" t="s">
        <v>132</v>
      </c>
      <c r="I125" t="s">
        <v>133</v>
      </c>
      <c r="J125" t="s">
        <v>5</v>
      </c>
    </row>
    <row r="126" spans="1:10" x14ac:dyDescent="0.35">
      <c r="A126" t="s">
        <v>752</v>
      </c>
      <c r="B126" t="s">
        <v>753</v>
      </c>
      <c r="C126" t="s">
        <v>77</v>
      </c>
      <c r="E126">
        <f>COUNTIF(EXAMENES[CODIGO],Consulta1[[#This Row],[EXACOD]])</f>
        <v>1</v>
      </c>
      <c r="H126" t="s">
        <v>802</v>
      </c>
      <c r="I126" t="s">
        <v>803</v>
      </c>
      <c r="J126" t="s">
        <v>5</v>
      </c>
    </row>
    <row r="127" spans="1:10" x14ac:dyDescent="0.35">
      <c r="A127" t="s">
        <v>729</v>
      </c>
      <c r="B127" t="s">
        <v>730</v>
      </c>
      <c r="C127" t="s">
        <v>77</v>
      </c>
      <c r="E127">
        <f>COUNTIF(EXAMENES[CODIGO],Consulta1[[#This Row],[EXACOD]])</f>
        <v>1</v>
      </c>
      <c r="H127" t="s">
        <v>560</v>
      </c>
      <c r="I127" t="s">
        <v>561</v>
      </c>
      <c r="J127" t="s">
        <v>5</v>
      </c>
    </row>
    <row r="128" spans="1:10" x14ac:dyDescent="0.35">
      <c r="A128" t="s">
        <v>731</v>
      </c>
      <c r="B128" t="s">
        <v>732</v>
      </c>
      <c r="C128" t="s">
        <v>77</v>
      </c>
      <c r="E128">
        <f>COUNTIF(EXAMENES[CODIGO],Consulta1[[#This Row],[EXACOD]])</f>
        <v>1</v>
      </c>
      <c r="H128" t="s">
        <v>574</v>
      </c>
      <c r="I128" t="s">
        <v>575</v>
      </c>
      <c r="J128" t="s">
        <v>5</v>
      </c>
    </row>
    <row r="129" spans="1:10" x14ac:dyDescent="0.35">
      <c r="A129" t="s">
        <v>754</v>
      </c>
      <c r="B129" t="s">
        <v>755</v>
      </c>
      <c r="C129" t="s">
        <v>77</v>
      </c>
      <c r="E129">
        <f>COUNTIF(EXAMENES[CODIGO],Consulta1[[#This Row],[EXACOD]])</f>
        <v>1</v>
      </c>
      <c r="H129" t="s">
        <v>582</v>
      </c>
      <c r="I129" t="s">
        <v>583</v>
      </c>
      <c r="J129" t="s">
        <v>5</v>
      </c>
    </row>
    <row r="130" spans="1:10" x14ac:dyDescent="0.35">
      <c r="A130" t="s">
        <v>669</v>
      </c>
      <c r="B130" t="s">
        <v>670</v>
      </c>
      <c r="C130" t="s">
        <v>77</v>
      </c>
      <c r="E130">
        <f>COUNTIF(EXAMENES[CODIGO],Consulta1[[#This Row],[EXACOD]])</f>
        <v>1</v>
      </c>
      <c r="H130" t="s">
        <v>602</v>
      </c>
      <c r="I130" t="s">
        <v>603</v>
      </c>
      <c r="J130" t="s">
        <v>5</v>
      </c>
    </row>
    <row r="131" spans="1:10" x14ac:dyDescent="0.35">
      <c r="A131" t="s">
        <v>566</v>
      </c>
      <c r="B131" t="s">
        <v>567</v>
      </c>
      <c r="C131" t="s">
        <v>77</v>
      </c>
      <c r="E131">
        <f>COUNTIF(EXAMENES[CODIGO],Consulta1[[#This Row],[EXACOD]])</f>
        <v>1</v>
      </c>
      <c r="H131" t="s">
        <v>3</v>
      </c>
      <c r="I131" t="s">
        <v>4</v>
      </c>
      <c r="J131" t="s">
        <v>5</v>
      </c>
    </row>
    <row r="132" spans="1:10" x14ac:dyDescent="0.35">
      <c r="A132" t="s">
        <v>570</v>
      </c>
      <c r="B132" t="s">
        <v>571</v>
      </c>
      <c r="C132" t="s">
        <v>77</v>
      </c>
      <c r="E132">
        <f>COUNTIF(EXAMENES[CODIGO],Consulta1[[#This Row],[EXACOD]])</f>
        <v>1</v>
      </c>
      <c r="H132" t="s">
        <v>80</v>
      </c>
      <c r="I132" t="s">
        <v>81</v>
      </c>
      <c r="J132" t="s">
        <v>5</v>
      </c>
    </row>
    <row r="133" spans="1:10" x14ac:dyDescent="0.35">
      <c r="A133" t="s">
        <v>520</v>
      </c>
      <c r="B133" t="s">
        <v>521</v>
      </c>
      <c r="C133" t="s">
        <v>77</v>
      </c>
      <c r="E133">
        <f>COUNTIF(EXAMENES[CODIGO],Consulta1[[#This Row],[EXACOD]])</f>
        <v>1</v>
      </c>
      <c r="H133" t="s">
        <v>86</v>
      </c>
      <c r="I133" t="s">
        <v>87</v>
      </c>
      <c r="J133" t="s">
        <v>5</v>
      </c>
    </row>
    <row r="134" spans="1:10" x14ac:dyDescent="0.35">
      <c r="A134" t="s">
        <v>524</v>
      </c>
      <c r="B134" t="s">
        <v>525</v>
      </c>
      <c r="C134" t="s">
        <v>77</v>
      </c>
      <c r="E134">
        <f>COUNTIF(EXAMENES[CODIGO],Consulta1[[#This Row],[EXACOD]])</f>
        <v>1</v>
      </c>
      <c r="H134" t="s">
        <v>539</v>
      </c>
      <c r="I134" t="s">
        <v>540</v>
      </c>
      <c r="J134" t="s">
        <v>5</v>
      </c>
    </row>
    <row r="135" spans="1:10" x14ac:dyDescent="0.35">
      <c r="A135" t="s">
        <v>535</v>
      </c>
      <c r="B135" t="s">
        <v>536</v>
      </c>
      <c r="C135" t="s">
        <v>77</v>
      </c>
      <c r="E135">
        <f>COUNTIF(EXAMENES[CODIGO],Consulta1[[#This Row],[EXACOD]])</f>
        <v>1</v>
      </c>
      <c r="H135" t="s">
        <v>558</v>
      </c>
      <c r="I135" t="s">
        <v>559</v>
      </c>
      <c r="J135" t="s">
        <v>5</v>
      </c>
    </row>
    <row r="136" spans="1:10" x14ac:dyDescent="0.35">
      <c r="A136" t="s">
        <v>588</v>
      </c>
      <c r="B136" t="s">
        <v>589</v>
      </c>
      <c r="C136" t="s">
        <v>77</v>
      </c>
      <c r="E136">
        <f>COUNTIF(EXAMENES[CODIGO],Consulta1[[#This Row],[EXACOD]])</f>
        <v>1</v>
      </c>
      <c r="H136" t="s">
        <v>562</v>
      </c>
      <c r="I136" t="s">
        <v>563</v>
      </c>
      <c r="J136" t="s">
        <v>5</v>
      </c>
    </row>
    <row r="137" spans="1:10" x14ac:dyDescent="0.35">
      <c r="A137" t="s">
        <v>528</v>
      </c>
      <c r="B137" t="s">
        <v>529</v>
      </c>
      <c r="C137" t="s">
        <v>77</v>
      </c>
      <c r="E137">
        <f>COUNTIF(EXAMENES[CODIGO],Consulta1[[#This Row],[EXACOD]])</f>
        <v>1</v>
      </c>
      <c r="H137" t="s">
        <v>619</v>
      </c>
      <c r="I137" t="s">
        <v>620</v>
      </c>
      <c r="J137" t="s">
        <v>5</v>
      </c>
    </row>
    <row r="138" spans="1:10" x14ac:dyDescent="0.35">
      <c r="A138" t="s">
        <v>584</v>
      </c>
      <c r="B138" t="s">
        <v>585</v>
      </c>
      <c r="C138" t="s">
        <v>77</v>
      </c>
      <c r="E138">
        <f>COUNTIF(EXAMENES[CODIGO],Consulta1[[#This Row],[EXACOD]])</f>
        <v>1</v>
      </c>
      <c r="H138" t="s">
        <v>330</v>
      </c>
      <c r="I138" t="s">
        <v>331</v>
      </c>
      <c r="J138" t="s">
        <v>5</v>
      </c>
    </row>
    <row r="139" spans="1:10" x14ac:dyDescent="0.35">
      <c r="A139" t="s">
        <v>582</v>
      </c>
      <c r="B139" t="s">
        <v>583</v>
      </c>
      <c r="C139" t="s">
        <v>77</v>
      </c>
      <c r="E139">
        <f>COUNTIF(EXAMENES[CODIGO],Consulta1[[#This Row],[EXACOD]])</f>
        <v>1</v>
      </c>
      <c r="H139" t="s">
        <v>522</v>
      </c>
      <c r="I139" t="s">
        <v>523</v>
      </c>
      <c r="J139" t="s">
        <v>5</v>
      </c>
    </row>
    <row r="140" spans="1:10" x14ac:dyDescent="0.35">
      <c r="A140" t="s">
        <v>617</v>
      </c>
      <c r="B140" t="s">
        <v>618</v>
      </c>
      <c r="C140" t="s">
        <v>77</v>
      </c>
      <c r="E140">
        <f>COUNTIF(EXAMENES[CODIGO],Consulta1[[#This Row],[EXACOD]])</f>
        <v>1</v>
      </c>
      <c r="H140" t="s">
        <v>531</v>
      </c>
      <c r="I140" t="s">
        <v>532</v>
      </c>
      <c r="J140" t="s">
        <v>5</v>
      </c>
    </row>
    <row r="141" spans="1:10" x14ac:dyDescent="0.35">
      <c r="A141" t="s">
        <v>548</v>
      </c>
      <c r="B141" t="s">
        <v>549</v>
      </c>
      <c r="C141" t="s">
        <v>77</v>
      </c>
      <c r="E141">
        <f>COUNTIF(EXAMENES[CODIGO],Consulta1[[#This Row],[EXACOD]])</f>
        <v>1</v>
      </c>
      <c r="H141" t="s">
        <v>537</v>
      </c>
      <c r="I141" t="s">
        <v>538</v>
      </c>
      <c r="J141" t="s">
        <v>5</v>
      </c>
    </row>
    <row r="142" spans="1:10" x14ac:dyDescent="0.35">
      <c r="A142" t="s">
        <v>596</v>
      </c>
      <c r="B142" t="s">
        <v>597</v>
      </c>
      <c r="C142" t="s">
        <v>77</v>
      </c>
      <c r="E142">
        <f>COUNTIF(EXAMENES[CODIGO],Consulta1[[#This Row],[EXACOD]])</f>
        <v>1</v>
      </c>
      <c r="H142" t="s">
        <v>600</v>
      </c>
      <c r="I142" t="s">
        <v>601</v>
      </c>
      <c r="J142" t="s">
        <v>5</v>
      </c>
    </row>
    <row r="143" spans="1:10" x14ac:dyDescent="0.35">
      <c r="A143" t="s">
        <v>804</v>
      </c>
      <c r="B143" t="s">
        <v>805</v>
      </c>
      <c r="C143" t="s">
        <v>5</v>
      </c>
      <c r="E143">
        <f>COUNTIF(EXAMENES[CODIGO],Consulta1[[#This Row],[EXACOD]])</f>
        <v>1</v>
      </c>
      <c r="H143" t="s">
        <v>156</v>
      </c>
      <c r="I143" t="s">
        <v>157</v>
      </c>
      <c r="J143" t="s">
        <v>5</v>
      </c>
    </row>
    <row r="144" spans="1:10" x14ac:dyDescent="0.35">
      <c r="A144" t="s">
        <v>75</v>
      </c>
      <c r="B144" t="s">
        <v>76</v>
      </c>
      <c r="C144" t="s">
        <v>5</v>
      </c>
      <c r="E144">
        <f>COUNTIF(EXAMENES[CODIGO],Consulta1[[#This Row],[EXACOD]])</f>
        <v>1</v>
      </c>
      <c r="H144" t="s">
        <v>88</v>
      </c>
      <c r="I144" t="s">
        <v>89</v>
      </c>
      <c r="J144" t="s">
        <v>5</v>
      </c>
    </row>
    <row r="145" spans="1:10" x14ac:dyDescent="0.35">
      <c r="A145" t="s">
        <v>846</v>
      </c>
      <c r="B145" t="s">
        <v>76</v>
      </c>
      <c r="C145" t="s">
        <v>5</v>
      </c>
      <c r="E145">
        <f>COUNTIF(EXAMENES[CODIGO],Consulta1[[#This Row],[EXACOD]])</f>
        <v>1</v>
      </c>
      <c r="H145" t="s">
        <v>92</v>
      </c>
      <c r="I145" t="s">
        <v>93</v>
      </c>
      <c r="J145" t="s">
        <v>5</v>
      </c>
    </row>
    <row r="146" spans="1:10" x14ac:dyDescent="0.35">
      <c r="A146" t="s">
        <v>78</v>
      </c>
      <c r="B146" t="s">
        <v>79</v>
      </c>
      <c r="C146" t="s">
        <v>5</v>
      </c>
      <c r="E146">
        <f>COUNTIF(EXAMENES[CODIGO],Consulta1[[#This Row],[EXACOD]])</f>
        <v>1</v>
      </c>
      <c r="H146" t="s">
        <v>578</v>
      </c>
      <c r="I146" t="s">
        <v>579</v>
      </c>
      <c r="J146" t="s">
        <v>5</v>
      </c>
    </row>
    <row r="147" spans="1:10" x14ac:dyDescent="0.35">
      <c r="A147" t="s">
        <v>800</v>
      </c>
      <c r="B147" t="s">
        <v>801</v>
      </c>
      <c r="C147" t="s">
        <v>5</v>
      </c>
      <c r="E147">
        <f>COUNTIF(EXAMENES[CODIGO],Consulta1[[#This Row],[EXACOD]])</f>
        <v>1</v>
      </c>
      <c r="H147" t="s">
        <v>535</v>
      </c>
      <c r="I147" t="s">
        <v>536</v>
      </c>
      <c r="J147" t="s">
        <v>5</v>
      </c>
    </row>
    <row r="148" spans="1:10" x14ac:dyDescent="0.35">
      <c r="A148" t="s">
        <v>80</v>
      </c>
      <c r="B148" t="s">
        <v>81</v>
      </c>
      <c r="C148" t="s">
        <v>5</v>
      </c>
      <c r="E148">
        <f>COUNTIF(EXAMENES[CODIGO],Consulta1[[#This Row],[EXACOD]])</f>
        <v>1</v>
      </c>
      <c r="H148" t="s">
        <v>544</v>
      </c>
      <c r="I148" t="s">
        <v>545</v>
      </c>
      <c r="J148" t="s">
        <v>5</v>
      </c>
    </row>
    <row r="149" spans="1:10" x14ac:dyDescent="0.35">
      <c r="A149" t="s">
        <v>82</v>
      </c>
      <c r="B149" t="s">
        <v>83</v>
      </c>
      <c r="C149" t="s">
        <v>5</v>
      </c>
      <c r="E149">
        <f>COUNTIF(EXAMENES[CODIGO],Consulta1[[#This Row],[EXACOD]])</f>
        <v>1</v>
      </c>
      <c r="H149" t="s">
        <v>546</v>
      </c>
      <c r="I149" t="s">
        <v>547</v>
      </c>
      <c r="J149" t="s">
        <v>5</v>
      </c>
    </row>
    <row r="150" spans="1:10" x14ac:dyDescent="0.35">
      <c r="A150" t="s">
        <v>84</v>
      </c>
      <c r="B150" t="s">
        <v>85</v>
      </c>
      <c r="C150" t="s">
        <v>5</v>
      </c>
      <c r="E150">
        <f>COUNTIF(EXAMENES[CODIGO],Consulta1[[#This Row],[EXACOD]])</f>
        <v>1</v>
      </c>
      <c r="H150" t="s">
        <v>556</v>
      </c>
      <c r="I150" t="s">
        <v>557</v>
      </c>
      <c r="J150" t="s">
        <v>5</v>
      </c>
    </row>
    <row r="151" spans="1:10" x14ac:dyDescent="0.35">
      <c r="A151" t="s">
        <v>86</v>
      </c>
      <c r="B151" t="s">
        <v>87</v>
      </c>
      <c r="C151" t="s">
        <v>5</v>
      </c>
      <c r="E151">
        <f>COUNTIF(EXAMENES[CODIGO],Consulta1[[#This Row],[EXACOD]])</f>
        <v>1</v>
      </c>
      <c r="H151" t="s">
        <v>604</v>
      </c>
      <c r="I151" t="s">
        <v>605</v>
      </c>
      <c r="J151" t="s">
        <v>5</v>
      </c>
    </row>
    <row r="152" spans="1:10" x14ac:dyDescent="0.35">
      <c r="A152" t="s">
        <v>88</v>
      </c>
      <c r="B152" t="s">
        <v>89</v>
      </c>
      <c r="C152" t="s">
        <v>5</v>
      </c>
      <c r="E152">
        <f>COUNTIF(EXAMENES[CODIGO],Consulta1[[#This Row],[EXACOD]])</f>
        <v>1</v>
      </c>
      <c r="H152" t="s">
        <v>606</v>
      </c>
      <c r="I152" t="s">
        <v>607</v>
      </c>
      <c r="J152" t="s">
        <v>5</v>
      </c>
    </row>
    <row r="153" spans="1:10" x14ac:dyDescent="0.35">
      <c r="A153" t="s">
        <v>90</v>
      </c>
      <c r="B153" t="s">
        <v>91</v>
      </c>
      <c r="C153" t="s">
        <v>5</v>
      </c>
      <c r="E153">
        <f>COUNTIF(EXAMENES[CODIGO],Consulta1[[#This Row],[EXACOD]])</f>
        <v>1</v>
      </c>
      <c r="H153" t="s">
        <v>617</v>
      </c>
      <c r="I153" t="s">
        <v>618</v>
      </c>
      <c r="J153" t="s">
        <v>5</v>
      </c>
    </row>
    <row r="154" spans="1:10" x14ac:dyDescent="0.35">
      <c r="A154" t="s">
        <v>92</v>
      </c>
      <c r="B154" t="s">
        <v>93</v>
      </c>
      <c r="C154" t="s">
        <v>5</v>
      </c>
      <c r="E154">
        <f>COUNTIF(EXAMENES[CODIGO],Consulta1[[#This Row],[EXACOD]])</f>
        <v>1</v>
      </c>
      <c r="H154" t="s">
        <v>98</v>
      </c>
      <c r="I154" t="s">
        <v>99</v>
      </c>
      <c r="J154" t="s">
        <v>5</v>
      </c>
    </row>
    <row r="155" spans="1:10" x14ac:dyDescent="0.35">
      <c r="A155" t="s">
        <v>156</v>
      </c>
      <c r="B155" t="s">
        <v>157</v>
      </c>
      <c r="C155" t="s">
        <v>5</v>
      </c>
      <c r="E155">
        <f>COUNTIF(EXAMENES[CODIGO],Consulta1[[#This Row],[EXACOD]])</f>
        <v>1</v>
      </c>
      <c r="H155" t="s">
        <v>516</v>
      </c>
      <c r="I155" t="s">
        <v>517</v>
      </c>
      <c r="J155" t="s">
        <v>5</v>
      </c>
    </row>
    <row r="156" spans="1:10" x14ac:dyDescent="0.35">
      <c r="A156" t="s">
        <v>98</v>
      </c>
      <c r="B156" t="s">
        <v>99</v>
      </c>
      <c r="C156" t="s">
        <v>5</v>
      </c>
      <c r="E156">
        <f>COUNTIF(EXAMENES[CODIGO],Consulta1[[#This Row],[EXACOD]])</f>
        <v>1</v>
      </c>
      <c r="H156" t="s">
        <v>526</v>
      </c>
      <c r="I156" t="s">
        <v>527</v>
      </c>
      <c r="J156" t="s">
        <v>5</v>
      </c>
    </row>
    <row r="157" spans="1:10" x14ac:dyDescent="0.35">
      <c r="A157" t="s">
        <v>104</v>
      </c>
      <c r="B157" t="s">
        <v>105</v>
      </c>
      <c r="C157" t="s">
        <v>5</v>
      </c>
      <c r="E157">
        <f>COUNTIF(EXAMENES[CODIGO],Consulta1[[#This Row],[EXACOD]])</f>
        <v>1</v>
      </c>
      <c r="H157" t="s">
        <v>804</v>
      </c>
      <c r="I157" t="s">
        <v>805</v>
      </c>
      <c r="J157" t="s">
        <v>5</v>
      </c>
    </row>
    <row r="158" spans="1:10" x14ac:dyDescent="0.35">
      <c r="A158" t="s">
        <v>132</v>
      </c>
      <c r="B158" t="s">
        <v>133</v>
      </c>
      <c r="C158" t="s">
        <v>5</v>
      </c>
      <c r="E158">
        <f>COUNTIF(EXAMENES[CODIGO],Consulta1[[#This Row],[EXACOD]])</f>
        <v>1</v>
      </c>
      <c r="H158" t="s">
        <v>75</v>
      </c>
      <c r="I158" t="s">
        <v>76</v>
      </c>
      <c r="J158" t="s">
        <v>5</v>
      </c>
    </row>
    <row r="159" spans="1:10" x14ac:dyDescent="0.35">
      <c r="A159" t="s">
        <v>146</v>
      </c>
      <c r="B159" t="s">
        <v>147</v>
      </c>
      <c r="C159" t="s">
        <v>5</v>
      </c>
      <c r="E159">
        <f>COUNTIF(EXAMENES[CODIGO],Consulta1[[#This Row],[EXACOD]])</f>
        <v>1</v>
      </c>
      <c r="H159" t="s">
        <v>78</v>
      </c>
      <c r="I159" t="s">
        <v>79</v>
      </c>
      <c r="J159" t="s">
        <v>5</v>
      </c>
    </row>
    <row r="160" spans="1:10" x14ac:dyDescent="0.35">
      <c r="A160" t="s">
        <v>606</v>
      </c>
      <c r="B160" t="s">
        <v>607</v>
      </c>
      <c r="C160" t="s">
        <v>5</v>
      </c>
      <c r="E160">
        <f>COUNTIF(EXAMENES[CODIGO],Consulta1[[#This Row],[EXACOD]])</f>
        <v>1</v>
      </c>
      <c r="H160" t="s">
        <v>82</v>
      </c>
      <c r="I160" t="s">
        <v>83</v>
      </c>
      <c r="J160" t="s">
        <v>5</v>
      </c>
    </row>
    <row r="161" spans="1:10" x14ac:dyDescent="0.35">
      <c r="A161" t="s">
        <v>560</v>
      </c>
      <c r="B161" t="s">
        <v>561</v>
      </c>
      <c r="C161" t="s">
        <v>5</v>
      </c>
      <c r="E161">
        <f>COUNTIF(EXAMENES[CODIGO],Consulta1[[#This Row],[EXACOD]])</f>
        <v>1</v>
      </c>
      <c r="H161" t="s">
        <v>90</v>
      </c>
      <c r="I161" t="s">
        <v>91</v>
      </c>
      <c r="J161" t="s">
        <v>5</v>
      </c>
    </row>
    <row r="162" spans="1:10" x14ac:dyDescent="0.35">
      <c r="A162" t="s">
        <v>988</v>
      </c>
      <c r="B162" t="s">
        <v>989</v>
      </c>
      <c r="C162" t="s">
        <v>5</v>
      </c>
      <c r="E162">
        <f>COUNTIF(EXAMENES[CODIGO],Consulta1[[#This Row],[EXACOD]])</f>
        <v>0</v>
      </c>
      <c r="H162" t="s">
        <v>518</v>
      </c>
      <c r="I162" t="s">
        <v>519</v>
      </c>
      <c r="J162" t="s">
        <v>5</v>
      </c>
    </row>
    <row r="163" spans="1:10" x14ac:dyDescent="0.35">
      <c r="A163" t="s">
        <v>533</v>
      </c>
      <c r="B163" t="s">
        <v>534</v>
      </c>
      <c r="C163" t="s">
        <v>5</v>
      </c>
      <c r="E163">
        <f>COUNTIF(EXAMENES[CODIGO],Consulta1[[#This Row],[EXACOD]])</f>
        <v>1</v>
      </c>
      <c r="H163" t="s">
        <v>550</v>
      </c>
      <c r="I163" t="s">
        <v>551</v>
      </c>
      <c r="J163" t="s">
        <v>5</v>
      </c>
    </row>
    <row r="164" spans="1:10" x14ac:dyDescent="0.35">
      <c r="A164" t="s">
        <v>539</v>
      </c>
      <c r="B164" t="s">
        <v>540</v>
      </c>
      <c r="C164" t="s">
        <v>5</v>
      </c>
      <c r="E164">
        <f>COUNTIF(EXAMENES[CODIGO],Consulta1[[#This Row],[EXACOD]])</f>
        <v>1</v>
      </c>
      <c r="H164" t="s">
        <v>580</v>
      </c>
      <c r="I164" t="s">
        <v>581</v>
      </c>
      <c r="J164" t="s">
        <v>5</v>
      </c>
    </row>
    <row r="165" spans="1:10" x14ac:dyDescent="0.35">
      <c r="A165" t="s">
        <v>898</v>
      </c>
      <c r="B165" t="s">
        <v>899</v>
      </c>
      <c r="C165" t="s">
        <v>5</v>
      </c>
      <c r="E165">
        <f>COUNTIF(EXAMENES[CODIGO],Consulta1[[#This Row],[EXACOD]])</f>
        <v>0</v>
      </c>
      <c r="H165" t="s">
        <v>586</v>
      </c>
      <c r="I165" t="s">
        <v>587</v>
      </c>
      <c r="J165" t="s">
        <v>5</v>
      </c>
    </row>
    <row r="166" spans="1:10" x14ac:dyDescent="0.35">
      <c r="A166" t="s">
        <v>522</v>
      </c>
      <c r="B166" t="s">
        <v>523</v>
      </c>
      <c r="C166" t="s">
        <v>5</v>
      </c>
      <c r="E166">
        <f>COUNTIF(EXAMENES[CODIGO],Consulta1[[#This Row],[EXACOD]])</f>
        <v>1</v>
      </c>
      <c r="H166" t="s">
        <v>592</v>
      </c>
      <c r="I166" t="s">
        <v>593</v>
      </c>
      <c r="J166" t="s">
        <v>5</v>
      </c>
    </row>
    <row r="167" spans="1:10" x14ac:dyDescent="0.35">
      <c r="A167" t="s">
        <v>526</v>
      </c>
      <c r="B167" t="s">
        <v>527</v>
      </c>
      <c r="C167" t="s">
        <v>5</v>
      </c>
      <c r="E167">
        <f>COUNTIF(EXAMENES[CODIGO],Consulta1[[#This Row],[EXACOD]])</f>
        <v>1</v>
      </c>
      <c r="H167" t="s">
        <v>84</v>
      </c>
      <c r="I167" t="s">
        <v>85</v>
      </c>
      <c r="J167" t="s">
        <v>5</v>
      </c>
    </row>
    <row r="168" spans="1:10" x14ac:dyDescent="0.35">
      <c r="A168" t="s">
        <v>537</v>
      </c>
      <c r="B168" t="s">
        <v>538</v>
      </c>
      <c r="C168" t="s">
        <v>5</v>
      </c>
      <c r="E168">
        <f>COUNTIF(EXAMENES[CODIGO],Consulta1[[#This Row],[EXACOD]])</f>
        <v>1</v>
      </c>
      <c r="H168" t="s">
        <v>146</v>
      </c>
      <c r="I168" t="s">
        <v>147</v>
      </c>
      <c r="J168" t="s">
        <v>5</v>
      </c>
    </row>
    <row r="169" spans="1:10" x14ac:dyDescent="0.35">
      <c r="A169" t="s">
        <v>896</v>
      </c>
      <c r="B169" t="s">
        <v>897</v>
      </c>
      <c r="C169" t="s">
        <v>5</v>
      </c>
      <c r="E169">
        <f>COUNTIF(EXAMENES[CODIGO],Consulta1[[#This Row],[EXACOD]])</f>
        <v>0</v>
      </c>
      <c r="H169" t="s">
        <v>564</v>
      </c>
      <c r="I169" t="s">
        <v>565</v>
      </c>
      <c r="J169" t="s">
        <v>5</v>
      </c>
    </row>
    <row r="170" spans="1:10" x14ac:dyDescent="0.35">
      <c r="A170" t="s">
        <v>802</v>
      </c>
      <c r="B170" t="s">
        <v>803</v>
      </c>
      <c r="C170" t="s">
        <v>5</v>
      </c>
      <c r="E170">
        <f>COUNTIF(EXAMENES[CODIGO],Consulta1[[#This Row],[EXACOD]])</f>
        <v>0</v>
      </c>
      <c r="H170" t="s">
        <v>590</v>
      </c>
      <c r="I170" t="s">
        <v>591</v>
      </c>
      <c r="J170" t="s">
        <v>5</v>
      </c>
    </row>
    <row r="171" spans="1:10" x14ac:dyDescent="0.35">
      <c r="A171" t="s">
        <v>578</v>
      </c>
      <c r="B171" t="s">
        <v>579</v>
      </c>
      <c r="C171" t="s">
        <v>5</v>
      </c>
      <c r="E171">
        <f>COUNTIF(EXAMENES[CODIGO],Consulta1[[#This Row],[EXACOD]])</f>
        <v>1</v>
      </c>
      <c r="H171" t="s">
        <v>598</v>
      </c>
      <c r="I171" t="s">
        <v>599</v>
      </c>
      <c r="J171" t="s">
        <v>5</v>
      </c>
    </row>
    <row r="172" spans="1:10" x14ac:dyDescent="0.35">
      <c r="A172" t="s">
        <v>990</v>
      </c>
      <c r="B172" t="s">
        <v>991</v>
      </c>
      <c r="C172" t="s">
        <v>5</v>
      </c>
      <c r="E172">
        <f>COUNTIF(EXAMENES[CODIGO],Consulta1[[#This Row],[EXACOD]])</f>
        <v>0</v>
      </c>
      <c r="H172" t="s">
        <v>533</v>
      </c>
      <c r="I172" t="s">
        <v>534</v>
      </c>
      <c r="J172" t="s">
        <v>5</v>
      </c>
    </row>
    <row r="173" spans="1:10" x14ac:dyDescent="0.35">
      <c r="A173" t="s">
        <v>992</v>
      </c>
      <c r="B173" t="s">
        <v>993</v>
      </c>
      <c r="C173" t="s">
        <v>5</v>
      </c>
      <c r="E173">
        <f>COUNTIF(EXAMENES[CODIGO],Consulta1[[#This Row],[EXACOD]])</f>
        <v>0</v>
      </c>
      <c r="H173" t="s">
        <v>104</v>
      </c>
      <c r="I173" t="s">
        <v>105</v>
      </c>
      <c r="J173" t="s">
        <v>5</v>
      </c>
    </row>
    <row r="174" spans="1:10" x14ac:dyDescent="0.35">
      <c r="A174" t="s">
        <v>994</v>
      </c>
      <c r="B174" t="s">
        <v>995</v>
      </c>
      <c r="C174" t="s">
        <v>5</v>
      </c>
      <c r="E174">
        <f>COUNTIF(EXAMENES[CODIGO],Consulta1[[#This Row],[EXACOD]])</f>
        <v>0</v>
      </c>
      <c r="H174" t="s">
        <v>436</v>
      </c>
      <c r="I174" t="s">
        <v>437</v>
      </c>
      <c r="J174" t="s">
        <v>5</v>
      </c>
    </row>
    <row r="175" spans="1:10" x14ac:dyDescent="0.35">
      <c r="A175" t="s">
        <v>3</v>
      </c>
      <c r="B175" t="s">
        <v>4</v>
      </c>
      <c r="C175" t="s">
        <v>5</v>
      </c>
      <c r="E175">
        <f>COUNTIF(EXAMENES[CODIGO],Consulta1[[#This Row],[EXACOD]])</f>
        <v>1</v>
      </c>
      <c r="H175" t="s">
        <v>552</v>
      </c>
      <c r="I175" t="s">
        <v>553</v>
      </c>
      <c r="J175" t="s">
        <v>5</v>
      </c>
    </row>
    <row r="176" spans="1:10" x14ac:dyDescent="0.35">
      <c r="A176" t="s">
        <v>330</v>
      </c>
      <c r="B176" t="s">
        <v>331</v>
      </c>
      <c r="C176" t="s">
        <v>5</v>
      </c>
      <c r="E176">
        <f>COUNTIF(EXAMENES[CODIGO],Consulta1[[#This Row],[EXACOD]])</f>
        <v>1</v>
      </c>
      <c r="H176" t="s">
        <v>554</v>
      </c>
      <c r="I176" t="s">
        <v>555</v>
      </c>
      <c r="J176" t="s">
        <v>5</v>
      </c>
    </row>
    <row r="177" spans="1:10" x14ac:dyDescent="0.35">
      <c r="A177" t="s">
        <v>586</v>
      </c>
      <c r="B177" t="s">
        <v>587</v>
      </c>
      <c r="C177" t="s">
        <v>5</v>
      </c>
      <c r="E177">
        <f>COUNTIF(EXAMENES[CODIGO],Consulta1[[#This Row],[EXACOD]])</f>
        <v>1</v>
      </c>
      <c r="H177" t="s">
        <v>576</v>
      </c>
      <c r="I177" t="s">
        <v>577</v>
      </c>
      <c r="J177" t="s">
        <v>5</v>
      </c>
    </row>
    <row r="178" spans="1:10" x14ac:dyDescent="0.35">
      <c r="A178" t="s">
        <v>556</v>
      </c>
      <c r="B178" t="s">
        <v>557</v>
      </c>
      <c r="C178" t="s">
        <v>5</v>
      </c>
      <c r="E178">
        <f>COUNTIF(EXAMENES[CODIGO],Consulta1[[#This Row],[EXACOD]])</f>
        <v>1</v>
      </c>
      <c r="H178" t="s">
        <v>594</v>
      </c>
      <c r="I178" t="s">
        <v>595</v>
      </c>
      <c r="J178" t="s">
        <v>5</v>
      </c>
    </row>
    <row r="179" spans="1:10" x14ac:dyDescent="0.35">
      <c r="A179" t="s">
        <v>516</v>
      </c>
      <c r="B179" t="s">
        <v>517</v>
      </c>
      <c r="C179" t="s">
        <v>5</v>
      </c>
      <c r="E179">
        <f>COUNTIF(EXAMENES[CODIGO],Consulta1[[#This Row],[EXACOD]])</f>
        <v>1</v>
      </c>
      <c r="H179" t="s">
        <v>611</v>
      </c>
      <c r="I179" t="s">
        <v>612</v>
      </c>
      <c r="J179" t="s">
        <v>5</v>
      </c>
    </row>
    <row r="180" spans="1:10" x14ac:dyDescent="0.35">
      <c r="A180" t="s">
        <v>554</v>
      </c>
      <c r="B180" t="s">
        <v>555</v>
      </c>
      <c r="C180" t="s">
        <v>5</v>
      </c>
      <c r="E180">
        <f>COUNTIF(EXAMENES[CODIGO],Consulta1[[#This Row],[EXACOD]])</f>
        <v>1</v>
      </c>
      <c r="H180" t="s">
        <v>438</v>
      </c>
      <c r="I180" t="s">
        <v>439</v>
      </c>
      <c r="J180" t="s">
        <v>39</v>
      </c>
    </row>
    <row r="181" spans="1:10" x14ac:dyDescent="0.35">
      <c r="A181" t="s">
        <v>558</v>
      </c>
      <c r="B181" t="s">
        <v>559</v>
      </c>
      <c r="C181" t="s">
        <v>5</v>
      </c>
      <c r="E181">
        <f>COUNTIF(EXAMENES[CODIGO],Consulta1[[#This Row],[EXACOD]])</f>
        <v>1</v>
      </c>
      <c r="H181" t="s">
        <v>37</v>
      </c>
      <c r="I181" t="s">
        <v>38</v>
      </c>
      <c r="J181" t="s">
        <v>39</v>
      </c>
    </row>
    <row r="182" spans="1:10" x14ac:dyDescent="0.35">
      <c r="A182" t="s">
        <v>562</v>
      </c>
      <c r="B182" t="s">
        <v>563</v>
      </c>
      <c r="C182" t="s">
        <v>5</v>
      </c>
      <c r="E182">
        <f>COUNTIF(EXAMENES[CODIGO],Consulta1[[#This Row],[EXACOD]])</f>
        <v>1</v>
      </c>
      <c r="H182" t="s">
        <v>350</v>
      </c>
      <c r="I182" t="s">
        <v>351</v>
      </c>
      <c r="J182" t="s">
        <v>6</v>
      </c>
    </row>
    <row r="183" spans="1:10" x14ac:dyDescent="0.35">
      <c r="A183" t="s">
        <v>600</v>
      </c>
      <c r="B183" t="s">
        <v>601</v>
      </c>
      <c r="C183" t="s">
        <v>5</v>
      </c>
      <c r="E183">
        <f>COUNTIF(EXAMENES[CODIGO],Consulta1[[#This Row],[EXACOD]])</f>
        <v>1</v>
      </c>
      <c r="H183" t="s">
        <v>302</v>
      </c>
      <c r="I183" t="s">
        <v>303</v>
      </c>
      <c r="J183" t="s">
        <v>6</v>
      </c>
    </row>
    <row r="184" spans="1:10" x14ac:dyDescent="0.35">
      <c r="A184" t="s">
        <v>564</v>
      </c>
      <c r="B184" t="s">
        <v>565</v>
      </c>
      <c r="C184" t="s">
        <v>5</v>
      </c>
      <c r="E184">
        <f>COUNTIF(EXAMENES[CODIGO],Consulta1[[#This Row],[EXACOD]])</f>
        <v>1</v>
      </c>
      <c r="H184" t="s">
        <v>448</v>
      </c>
      <c r="I184" t="s">
        <v>449</v>
      </c>
      <c r="J184" t="s">
        <v>6</v>
      </c>
    </row>
    <row r="185" spans="1:10" x14ac:dyDescent="0.35">
      <c r="A185" t="s">
        <v>518</v>
      </c>
      <c r="B185" t="s">
        <v>519</v>
      </c>
      <c r="C185" t="s">
        <v>5</v>
      </c>
      <c r="E185">
        <f>COUNTIF(EXAMENES[CODIGO],Consulta1[[#This Row],[EXACOD]])</f>
        <v>1</v>
      </c>
      <c r="H185" t="s">
        <v>200</v>
      </c>
      <c r="I185" t="s">
        <v>201</v>
      </c>
      <c r="J185" t="s">
        <v>6</v>
      </c>
    </row>
    <row r="186" spans="1:10" x14ac:dyDescent="0.35">
      <c r="A186" t="s">
        <v>546</v>
      </c>
      <c r="B186" t="s">
        <v>547</v>
      </c>
      <c r="C186" t="s">
        <v>5</v>
      </c>
      <c r="E186">
        <f>COUNTIF(EXAMENES[CODIGO],Consulta1[[#This Row],[EXACOD]])</f>
        <v>1</v>
      </c>
      <c r="H186" t="s">
        <v>340</v>
      </c>
      <c r="I186" t="s">
        <v>341</v>
      </c>
      <c r="J186" t="s">
        <v>6</v>
      </c>
    </row>
    <row r="187" spans="1:10" x14ac:dyDescent="0.35">
      <c r="A187" t="s">
        <v>544</v>
      </c>
      <c r="B187" t="s">
        <v>545</v>
      </c>
      <c r="C187" t="s">
        <v>5</v>
      </c>
      <c r="E187">
        <f>COUNTIF(EXAMENES[CODIGO],Consulta1[[#This Row],[EXACOD]])</f>
        <v>1</v>
      </c>
      <c r="H187" t="s">
        <v>358</v>
      </c>
      <c r="I187" t="s">
        <v>359</v>
      </c>
      <c r="J187" t="s">
        <v>6</v>
      </c>
    </row>
    <row r="188" spans="1:10" x14ac:dyDescent="0.35">
      <c r="A188" t="s">
        <v>619</v>
      </c>
      <c r="B188" t="s">
        <v>620</v>
      </c>
      <c r="C188" t="s">
        <v>5</v>
      </c>
      <c r="E188">
        <f>COUNTIF(EXAMENES[CODIGO],Consulta1[[#This Row],[EXACOD]])</f>
        <v>1</v>
      </c>
      <c r="H188" t="s">
        <v>360</v>
      </c>
      <c r="I188" t="s">
        <v>361</v>
      </c>
      <c r="J188" t="s">
        <v>6</v>
      </c>
    </row>
    <row r="189" spans="1:10" x14ac:dyDescent="0.35">
      <c r="A189" t="s">
        <v>604</v>
      </c>
      <c r="B189" t="s">
        <v>605</v>
      </c>
      <c r="C189" t="s">
        <v>5</v>
      </c>
      <c r="E189">
        <f>COUNTIF(EXAMENES[CODIGO],Consulta1[[#This Row],[EXACOD]])</f>
        <v>1</v>
      </c>
      <c r="H189" t="s">
        <v>434</v>
      </c>
      <c r="I189" t="s">
        <v>435</v>
      </c>
      <c r="J189" t="s">
        <v>6</v>
      </c>
    </row>
    <row r="190" spans="1:10" x14ac:dyDescent="0.35">
      <c r="A190" t="s">
        <v>611</v>
      </c>
      <c r="B190" t="s">
        <v>612</v>
      </c>
      <c r="C190" t="s">
        <v>5</v>
      </c>
      <c r="E190">
        <f>COUNTIF(EXAMENES[CODIGO],Consulta1[[#This Row],[EXACOD]])</f>
        <v>1</v>
      </c>
      <c r="H190" t="s">
        <v>442</v>
      </c>
      <c r="I190" t="s">
        <v>443</v>
      </c>
      <c r="J190" t="s">
        <v>6</v>
      </c>
    </row>
    <row r="191" spans="1:10" x14ac:dyDescent="0.35">
      <c r="A191" t="s">
        <v>552</v>
      </c>
      <c r="B191" t="s">
        <v>996</v>
      </c>
      <c r="C191" t="s">
        <v>5</v>
      </c>
      <c r="E191">
        <f>COUNTIF(EXAMENES[CODIGO],Consulta1[[#This Row],[EXACOD]])</f>
        <v>1</v>
      </c>
      <c r="H191" t="s">
        <v>346</v>
      </c>
      <c r="I191" t="s">
        <v>347</v>
      </c>
      <c r="J191" t="s">
        <v>6</v>
      </c>
    </row>
    <row r="192" spans="1:10" x14ac:dyDescent="0.35">
      <c r="A192" t="s">
        <v>550</v>
      </c>
      <c r="B192" t="s">
        <v>551</v>
      </c>
      <c r="C192" t="s">
        <v>5</v>
      </c>
      <c r="E192">
        <f>COUNTIF(EXAMENES[CODIGO],Consulta1[[#This Row],[EXACOD]])</f>
        <v>1</v>
      </c>
      <c r="H192" t="s">
        <v>362</v>
      </c>
      <c r="I192" t="s">
        <v>363</v>
      </c>
      <c r="J192" t="s">
        <v>6</v>
      </c>
    </row>
    <row r="193" spans="1:10" x14ac:dyDescent="0.35">
      <c r="A193" t="s">
        <v>598</v>
      </c>
      <c r="B193" t="s">
        <v>599</v>
      </c>
      <c r="C193" t="s">
        <v>5</v>
      </c>
      <c r="E193">
        <f>COUNTIF(EXAMENES[CODIGO],Consulta1[[#This Row],[EXACOD]])</f>
        <v>1</v>
      </c>
      <c r="H193" t="s">
        <v>450</v>
      </c>
      <c r="I193" t="s">
        <v>451</v>
      </c>
      <c r="J193" t="s">
        <v>6</v>
      </c>
    </row>
    <row r="194" spans="1:10" x14ac:dyDescent="0.35">
      <c r="A194" t="s">
        <v>590</v>
      </c>
      <c r="B194" t="s">
        <v>591</v>
      </c>
      <c r="C194" t="s">
        <v>5</v>
      </c>
      <c r="E194">
        <f>COUNTIF(EXAMENES[CODIGO],Consulta1[[#This Row],[EXACOD]])</f>
        <v>1</v>
      </c>
      <c r="H194" t="s">
        <v>356</v>
      </c>
      <c r="I194" t="s">
        <v>357</v>
      </c>
      <c r="J194" t="s">
        <v>6</v>
      </c>
    </row>
    <row r="195" spans="1:10" x14ac:dyDescent="0.35">
      <c r="A195" t="s">
        <v>592</v>
      </c>
      <c r="B195" t="s">
        <v>593</v>
      </c>
      <c r="C195" t="s">
        <v>5</v>
      </c>
      <c r="E195">
        <f>COUNTIF(EXAMENES[CODIGO],Consulta1[[#This Row],[EXACOD]])</f>
        <v>1</v>
      </c>
      <c r="H195" t="s">
        <v>440</v>
      </c>
      <c r="I195" t="s">
        <v>441</v>
      </c>
      <c r="J195" t="s">
        <v>6</v>
      </c>
    </row>
    <row r="196" spans="1:10" x14ac:dyDescent="0.35">
      <c r="A196" t="s">
        <v>602</v>
      </c>
      <c r="B196" t="s">
        <v>603</v>
      </c>
      <c r="C196" t="s">
        <v>5</v>
      </c>
      <c r="E196">
        <f>COUNTIF(EXAMENES[CODIGO],Consulta1[[#This Row],[EXACOD]])</f>
        <v>1</v>
      </c>
      <c r="H196" t="s">
        <v>446</v>
      </c>
      <c r="I196" t="s">
        <v>447</v>
      </c>
      <c r="J196" t="s">
        <v>6</v>
      </c>
    </row>
    <row r="197" spans="1:10" x14ac:dyDescent="0.35">
      <c r="A197" t="s">
        <v>531</v>
      </c>
      <c r="B197" t="s">
        <v>532</v>
      </c>
      <c r="C197" t="s">
        <v>5</v>
      </c>
      <c r="E197">
        <f>COUNTIF(EXAMENES[CODIGO],Consulta1[[#This Row],[EXACOD]])</f>
        <v>1</v>
      </c>
      <c r="H197" t="s">
        <v>454</v>
      </c>
      <c r="I197" t="s">
        <v>455</v>
      </c>
      <c r="J197" t="s">
        <v>6</v>
      </c>
    </row>
    <row r="198" spans="1:10" x14ac:dyDescent="0.35">
      <c r="A198" t="s">
        <v>580</v>
      </c>
      <c r="B198" t="s">
        <v>581</v>
      </c>
      <c r="C198" t="s">
        <v>5</v>
      </c>
      <c r="E198">
        <f>COUNTIF(EXAMENES[CODIGO],Consulta1[[#This Row],[EXACOD]])</f>
        <v>1</v>
      </c>
      <c r="H198" t="s">
        <v>324</v>
      </c>
      <c r="I198" t="s">
        <v>325</v>
      </c>
      <c r="J198" t="s">
        <v>6</v>
      </c>
    </row>
    <row r="199" spans="1:10" x14ac:dyDescent="0.35">
      <c r="A199" t="s">
        <v>576</v>
      </c>
      <c r="B199" t="s">
        <v>577</v>
      </c>
      <c r="C199" t="s">
        <v>5</v>
      </c>
      <c r="E199">
        <f>COUNTIF(EXAMENES[CODIGO],Consulta1[[#This Row],[EXACOD]])</f>
        <v>1</v>
      </c>
      <c r="H199" t="s">
        <v>444</v>
      </c>
      <c r="I199" t="s">
        <v>445</v>
      </c>
      <c r="J199" t="s">
        <v>6</v>
      </c>
    </row>
    <row r="200" spans="1:10" x14ac:dyDescent="0.35">
      <c r="A200" t="s">
        <v>574</v>
      </c>
      <c r="B200" t="s">
        <v>575</v>
      </c>
      <c r="C200" t="s">
        <v>5</v>
      </c>
      <c r="E200">
        <f>COUNTIF(EXAMENES[CODIGO],Consulta1[[#This Row],[EXACOD]])</f>
        <v>1</v>
      </c>
      <c r="H200" t="s">
        <v>336</v>
      </c>
      <c r="I200" t="s">
        <v>337</v>
      </c>
      <c r="J200" t="s">
        <v>6</v>
      </c>
    </row>
    <row r="201" spans="1:10" x14ac:dyDescent="0.35">
      <c r="A201" t="s">
        <v>594</v>
      </c>
      <c r="B201" t="s">
        <v>595</v>
      </c>
      <c r="C201" t="s">
        <v>5</v>
      </c>
      <c r="E201">
        <f>COUNTIF(EXAMENES[CODIGO],Consulta1[[#This Row],[EXACOD]])</f>
        <v>1</v>
      </c>
      <c r="H201" t="s">
        <v>344</v>
      </c>
      <c r="I201" t="s">
        <v>345</v>
      </c>
      <c r="J201" t="s">
        <v>6</v>
      </c>
    </row>
    <row r="202" spans="1:10" x14ac:dyDescent="0.35">
      <c r="A202" t="s">
        <v>436</v>
      </c>
      <c r="B202" t="s">
        <v>437</v>
      </c>
      <c r="C202" t="s">
        <v>5</v>
      </c>
      <c r="E202">
        <f>COUNTIF(EXAMENES[CODIGO],Consulta1[[#This Row],[EXACOD]])</f>
        <v>1</v>
      </c>
      <c r="H202" t="s">
        <v>352</v>
      </c>
      <c r="I202" t="s">
        <v>353</v>
      </c>
      <c r="J202" t="s">
        <v>6</v>
      </c>
    </row>
    <row r="203" spans="1:10" x14ac:dyDescent="0.35">
      <c r="A203" t="s">
        <v>37</v>
      </c>
      <c r="B203" t="s">
        <v>38</v>
      </c>
      <c r="C203" t="s">
        <v>39</v>
      </c>
      <c r="E203">
        <f>COUNTIF(EXAMENES[CODIGO],Consulta1[[#This Row],[EXACOD]])</f>
        <v>1</v>
      </c>
      <c r="H203" t="s">
        <v>354</v>
      </c>
      <c r="I203" t="s">
        <v>355</v>
      </c>
      <c r="J203" t="s">
        <v>6</v>
      </c>
    </row>
    <row r="204" spans="1:10" x14ac:dyDescent="0.35">
      <c r="A204" t="s">
        <v>997</v>
      </c>
      <c r="B204" t="s">
        <v>998</v>
      </c>
      <c r="C204" t="s">
        <v>39</v>
      </c>
      <c r="E204">
        <f>COUNTIF(EXAMENES[CODIGO],Consulta1[[#This Row],[EXACOD]])</f>
        <v>0</v>
      </c>
      <c r="H204" t="s">
        <v>806</v>
      </c>
      <c r="I204" t="s">
        <v>807</v>
      </c>
      <c r="J204" t="s">
        <v>6</v>
      </c>
    </row>
    <row r="205" spans="1:10" x14ac:dyDescent="0.35">
      <c r="A205" t="s">
        <v>999</v>
      </c>
      <c r="B205" t="s">
        <v>1000</v>
      </c>
      <c r="C205" t="s">
        <v>39</v>
      </c>
      <c r="E205">
        <f>COUNTIF(EXAMENES[CODIGO],Consulta1[[#This Row],[EXACOD]])</f>
        <v>0</v>
      </c>
      <c r="H205" t="s">
        <v>348</v>
      </c>
      <c r="I205" t="s">
        <v>349</v>
      </c>
      <c r="J205" t="s">
        <v>6</v>
      </c>
    </row>
    <row r="206" spans="1:10" x14ac:dyDescent="0.35">
      <c r="A206" t="s">
        <v>1001</v>
      </c>
      <c r="B206" t="s">
        <v>1002</v>
      </c>
      <c r="C206" t="s">
        <v>39</v>
      </c>
      <c r="E206">
        <f>COUNTIF(EXAMENES[CODIGO],Consulta1[[#This Row],[EXACOD]])</f>
        <v>0</v>
      </c>
      <c r="H206" t="s">
        <v>428</v>
      </c>
      <c r="I206" t="s">
        <v>429</v>
      </c>
      <c r="J206" t="s">
        <v>6</v>
      </c>
    </row>
    <row r="207" spans="1:10" x14ac:dyDescent="0.35">
      <c r="A207" t="s">
        <v>438</v>
      </c>
      <c r="B207" t="s">
        <v>439</v>
      </c>
      <c r="C207" t="s">
        <v>39</v>
      </c>
      <c r="E207">
        <f>COUNTIF(EXAMENES[CODIGO],Consulta1[[#This Row],[EXACOD]])</f>
        <v>1</v>
      </c>
      <c r="H207" t="s">
        <v>452</v>
      </c>
      <c r="I207" t="s">
        <v>453</v>
      </c>
      <c r="J207" t="s">
        <v>6</v>
      </c>
    </row>
    <row r="208" spans="1:10" x14ac:dyDescent="0.35">
      <c r="A208" t="s">
        <v>871</v>
      </c>
      <c r="B208" t="s">
        <v>902</v>
      </c>
      <c r="C208" t="s">
        <v>6</v>
      </c>
      <c r="E208">
        <f>COUNTIF(EXAMENES[CODIGO],Consulta1[[#This Row],[EXACOD]])</f>
        <v>0</v>
      </c>
      <c r="H208" t="s">
        <v>384</v>
      </c>
      <c r="I208" t="s">
        <v>385</v>
      </c>
      <c r="J208" t="s">
        <v>2</v>
      </c>
    </row>
    <row r="209" spans="1:10" x14ac:dyDescent="0.35">
      <c r="A209" t="s">
        <v>200</v>
      </c>
      <c r="B209" t="s">
        <v>201</v>
      </c>
      <c r="C209" t="s">
        <v>6</v>
      </c>
      <c r="E209">
        <f>COUNTIF(EXAMENES[CODIGO],Consulta1[[#This Row],[EXACOD]])</f>
        <v>1</v>
      </c>
      <c r="H209" t="s">
        <v>388</v>
      </c>
      <c r="I209" t="s">
        <v>389</v>
      </c>
      <c r="J209" t="s">
        <v>2</v>
      </c>
    </row>
    <row r="210" spans="1:10" x14ac:dyDescent="0.35">
      <c r="A210" t="s">
        <v>440</v>
      </c>
      <c r="B210" t="s">
        <v>441</v>
      </c>
      <c r="C210" t="s">
        <v>6</v>
      </c>
      <c r="E210">
        <f>COUNTIF(EXAMENES[CODIGO],Consulta1[[#This Row],[EXACOD]])</f>
        <v>1</v>
      </c>
      <c r="H210" t="s">
        <v>376</v>
      </c>
      <c r="I210" t="s">
        <v>377</v>
      </c>
      <c r="J210" t="s">
        <v>2</v>
      </c>
    </row>
    <row r="211" spans="1:10" x14ac:dyDescent="0.35">
      <c r="A211" t="s">
        <v>362</v>
      </c>
      <c r="B211" t="s">
        <v>363</v>
      </c>
      <c r="C211" t="s">
        <v>6</v>
      </c>
      <c r="E211">
        <f>COUNTIF(EXAMENES[CODIGO],Consulta1[[#This Row],[EXACOD]])</f>
        <v>1</v>
      </c>
      <c r="H211" t="s">
        <v>398</v>
      </c>
      <c r="I211" t="s">
        <v>399</v>
      </c>
      <c r="J211" t="s">
        <v>2</v>
      </c>
    </row>
    <row r="212" spans="1:10" x14ac:dyDescent="0.35">
      <c r="A212" t="s">
        <v>900</v>
      </c>
      <c r="B212" t="s">
        <v>901</v>
      </c>
      <c r="C212" t="s">
        <v>6</v>
      </c>
      <c r="E212">
        <f>COUNTIF(EXAMENES[CODIGO],Consulta1[[#This Row],[EXACOD]])</f>
        <v>0</v>
      </c>
      <c r="H212" t="s">
        <v>420</v>
      </c>
      <c r="I212" t="s">
        <v>421</v>
      </c>
      <c r="J212" t="s">
        <v>2</v>
      </c>
    </row>
    <row r="213" spans="1:10" x14ac:dyDescent="0.35">
      <c r="A213" t="s">
        <v>903</v>
      </c>
      <c r="B213" t="s">
        <v>904</v>
      </c>
      <c r="C213" t="s">
        <v>6</v>
      </c>
      <c r="E213">
        <f>COUNTIF(EXAMENES[CODIGO],Consulta1[[#This Row],[EXACOD]])</f>
        <v>0</v>
      </c>
      <c r="H213" t="s">
        <v>7</v>
      </c>
      <c r="I213" t="s">
        <v>8</v>
      </c>
      <c r="J213" t="s">
        <v>2</v>
      </c>
    </row>
    <row r="214" spans="1:10" x14ac:dyDescent="0.35">
      <c r="A214" t="s">
        <v>434</v>
      </c>
      <c r="B214" t="s">
        <v>435</v>
      </c>
      <c r="C214" t="s">
        <v>6</v>
      </c>
      <c r="E214">
        <f>COUNTIF(EXAMENES[CODIGO],Consulta1[[#This Row],[EXACOD]])</f>
        <v>1</v>
      </c>
      <c r="H214" t="s">
        <v>13</v>
      </c>
      <c r="I214" t="s">
        <v>14</v>
      </c>
      <c r="J214" t="s">
        <v>2</v>
      </c>
    </row>
    <row r="215" spans="1:10" x14ac:dyDescent="0.35">
      <c r="A215" t="s">
        <v>344</v>
      </c>
      <c r="B215" t="s">
        <v>345</v>
      </c>
      <c r="C215" t="s">
        <v>6</v>
      </c>
      <c r="E215">
        <f>COUNTIF(EXAMENES[CODIGO],Consulta1[[#This Row],[EXACOD]])</f>
        <v>1</v>
      </c>
      <c r="H215" t="s">
        <v>27</v>
      </c>
      <c r="I215" t="s">
        <v>28</v>
      </c>
      <c r="J215" t="s">
        <v>2</v>
      </c>
    </row>
    <row r="216" spans="1:10" x14ac:dyDescent="0.35">
      <c r="A216" t="s">
        <v>454</v>
      </c>
      <c r="B216" t="s">
        <v>455</v>
      </c>
      <c r="C216" t="s">
        <v>6</v>
      </c>
      <c r="E216">
        <f>COUNTIF(EXAMENES[CODIGO],Consulta1[[#This Row],[EXACOD]])</f>
        <v>1</v>
      </c>
      <c r="H216" t="s">
        <v>29</v>
      </c>
      <c r="I216" t="s">
        <v>30</v>
      </c>
      <c r="J216" t="s">
        <v>2</v>
      </c>
    </row>
    <row r="217" spans="1:10" x14ac:dyDescent="0.35">
      <c r="A217" t="s">
        <v>806</v>
      </c>
      <c r="B217" t="s">
        <v>807</v>
      </c>
      <c r="C217" t="s">
        <v>6</v>
      </c>
      <c r="E217">
        <f>COUNTIF(EXAMENES[CODIGO],Consulta1[[#This Row],[EXACOD]])</f>
        <v>0</v>
      </c>
      <c r="H217" t="s">
        <v>114</v>
      </c>
      <c r="I217" t="s">
        <v>115</v>
      </c>
      <c r="J217" t="s">
        <v>2</v>
      </c>
    </row>
    <row r="218" spans="1:10" x14ac:dyDescent="0.35">
      <c r="A218" t="s">
        <v>444</v>
      </c>
      <c r="B218" t="s">
        <v>445</v>
      </c>
      <c r="C218" t="s">
        <v>6</v>
      </c>
      <c r="E218">
        <f>COUNTIF(EXAMENES[CODIGO],Consulta1[[#This Row],[EXACOD]])</f>
        <v>1</v>
      </c>
      <c r="H218" t="s">
        <v>286</v>
      </c>
      <c r="I218" t="s">
        <v>287</v>
      </c>
      <c r="J218" t="s">
        <v>2</v>
      </c>
    </row>
    <row r="219" spans="1:10" x14ac:dyDescent="0.35">
      <c r="A219" t="s">
        <v>348</v>
      </c>
      <c r="B219" t="s">
        <v>349</v>
      </c>
      <c r="C219" t="s">
        <v>6</v>
      </c>
      <c r="E219">
        <f>COUNTIF(EXAMENES[CODIGO],Consulta1[[#This Row],[EXACOD]])</f>
        <v>1</v>
      </c>
      <c r="H219" t="s">
        <v>316</v>
      </c>
      <c r="I219" t="s">
        <v>317</v>
      </c>
      <c r="J219" t="s">
        <v>2</v>
      </c>
    </row>
    <row r="220" spans="1:10" x14ac:dyDescent="0.35">
      <c r="A220" t="s">
        <v>340</v>
      </c>
      <c r="B220" t="s">
        <v>341</v>
      </c>
      <c r="C220" t="s">
        <v>6</v>
      </c>
      <c r="E220">
        <f>COUNTIF(EXAMENES[CODIGO],Consulta1[[#This Row],[EXACOD]])</f>
        <v>1</v>
      </c>
      <c r="H220" t="s">
        <v>326</v>
      </c>
      <c r="I220" t="s">
        <v>327</v>
      </c>
      <c r="J220" t="s">
        <v>2</v>
      </c>
    </row>
    <row r="221" spans="1:10" x14ac:dyDescent="0.35">
      <c r="A221" t="s">
        <v>354</v>
      </c>
      <c r="B221" t="s">
        <v>355</v>
      </c>
      <c r="C221" t="s">
        <v>6</v>
      </c>
      <c r="E221">
        <f>COUNTIF(EXAMENES[CODIGO],Consulta1[[#This Row],[EXACOD]])</f>
        <v>1</v>
      </c>
      <c r="H221" t="s">
        <v>364</v>
      </c>
      <c r="I221" t="s">
        <v>365</v>
      </c>
      <c r="J221" t="s">
        <v>2</v>
      </c>
    </row>
    <row r="222" spans="1:10" x14ac:dyDescent="0.35">
      <c r="A222" t="s">
        <v>352</v>
      </c>
      <c r="B222" t="s">
        <v>353</v>
      </c>
      <c r="C222" t="s">
        <v>6</v>
      </c>
      <c r="E222">
        <f>COUNTIF(EXAMENES[CODIGO],Consulta1[[#This Row],[EXACOD]])</f>
        <v>1</v>
      </c>
      <c r="H222" t="s">
        <v>368</v>
      </c>
      <c r="I222" t="s">
        <v>369</v>
      </c>
      <c r="J222" t="s">
        <v>2</v>
      </c>
    </row>
    <row r="223" spans="1:10" x14ac:dyDescent="0.35">
      <c r="A223" t="s">
        <v>302</v>
      </c>
      <c r="B223" t="s">
        <v>303</v>
      </c>
      <c r="C223" t="s">
        <v>6</v>
      </c>
      <c r="E223">
        <f>COUNTIF(EXAMENES[CODIGO],Consulta1[[#This Row],[EXACOD]])</f>
        <v>1</v>
      </c>
      <c r="H223" t="s">
        <v>396</v>
      </c>
      <c r="I223" t="s">
        <v>397</v>
      </c>
      <c r="J223" t="s">
        <v>2</v>
      </c>
    </row>
    <row r="224" spans="1:10" x14ac:dyDescent="0.35">
      <c r="A224" t="s">
        <v>336</v>
      </c>
      <c r="B224" t="s">
        <v>337</v>
      </c>
      <c r="C224" t="s">
        <v>6</v>
      </c>
      <c r="E224">
        <f>COUNTIF(EXAMENES[CODIGO],Consulta1[[#This Row],[EXACOD]])</f>
        <v>1</v>
      </c>
      <c r="H224" t="s">
        <v>404</v>
      </c>
      <c r="I224" t="s">
        <v>405</v>
      </c>
      <c r="J224" t="s">
        <v>2</v>
      </c>
    </row>
    <row r="225" spans="1:10" x14ac:dyDescent="0.35">
      <c r="A225" t="s">
        <v>324</v>
      </c>
      <c r="B225" t="s">
        <v>325</v>
      </c>
      <c r="C225" t="s">
        <v>6</v>
      </c>
      <c r="E225">
        <f>COUNTIF(EXAMENES[CODIGO],Consulta1[[#This Row],[EXACOD]])</f>
        <v>1</v>
      </c>
      <c r="H225" t="s">
        <v>408</v>
      </c>
      <c r="I225" t="s">
        <v>409</v>
      </c>
      <c r="J225" t="s">
        <v>2</v>
      </c>
    </row>
    <row r="226" spans="1:10" x14ac:dyDescent="0.35">
      <c r="A226" t="s">
        <v>346</v>
      </c>
      <c r="B226" t="s">
        <v>347</v>
      </c>
      <c r="C226" t="s">
        <v>6</v>
      </c>
      <c r="E226">
        <f>COUNTIF(EXAMENES[CODIGO],Consulta1[[#This Row],[EXACOD]])</f>
        <v>1</v>
      </c>
      <c r="H226" t="s">
        <v>410</v>
      </c>
      <c r="I226" t="s">
        <v>411</v>
      </c>
      <c r="J226" t="s">
        <v>2</v>
      </c>
    </row>
    <row r="227" spans="1:10" x14ac:dyDescent="0.35">
      <c r="A227" t="s">
        <v>350</v>
      </c>
      <c r="B227" t="s">
        <v>351</v>
      </c>
      <c r="C227" t="s">
        <v>6</v>
      </c>
      <c r="E227">
        <f>COUNTIF(EXAMENES[CODIGO],Consulta1[[#This Row],[EXACOD]])</f>
        <v>1</v>
      </c>
      <c r="H227" t="s">
        <v>460</v>
      </c>
      <c r="I227" t="s">
        <v>461</v>
      </c>
      <c r="J227" t="s">
        <v>2</v>
      </c>
    </row>
    <row r="228" spans="1:10" x14ac:dyDescent="0.35">
      <c r="A228" t="s">
        <v>356</v>
      </c>
      <c r="B228" t="s">
        <v>357</v>
      </c>
      <c r="C228" t="s">
        <v>6</v>
      </c>
      <c r="E228">
        <f>COUNTIF(EXAMENES[CODIGO],Consulta1[[#This Row],[EXACOD]])</f>
        <v>1</v>
      </c>
      <c r="H228" t="s">
        <v>110</v>
      </c>
      <c r="I228" t="s">
        <v>111</v>
      </c>
      <c r="J228" t="s">
        <v>2</v>
      </c>
    </row>
    <row r="229" spans="1:10" x14ac:dyDescent="0.35">
      <c r="A229" t="s">
        <v>358</v>
      </c>
      <c r="B229" t="s">
        <v>359</v>
      </c>
      <c r="C229" t="s">
        <v>6</v>
      </c>
      <c r="E229">
        <f>COUNTIF(EXAMENES[CODIGO],Consulta1[[#This Row],[EXACOD]])</f>
        <v>1</v>
      </c>
      <c r="H229" t="s">
        <v>19</v>
      </c>
      <c r="I229" t="s">
        <v>20</v>
      </c>
      <c r="J229" t="s">
        <v>2</v>
      </c>
    </row>
    <row r="230" spans="1:10" x14ac:dyDescent="0.35">
      <c r="A230" t="s">
        <v>360</v>
      </c>
      <c r="B230" t="s">
        <v>361</v>
      </c>
      <c r="C230" t="s">
        <v>6</v>
      </c>
      <c r="E230">
        <f>COUNTIF(EXAMENES[CODIGO],Consulta1[[#This Row],[EXACOD]])</f>
        <v>1</v>
      </c>
      <c r="H230" t="s">
        <v>25</v>
      </c>
      <c r="I230" t="s">
        <v>26</v>
      </c>
      <c r="J230" t="s">
        <v>2</v>
      </c>
    </row>
    <row r="231" spans="1:10" x14ac:dyDescent="0.35">
      <c r="A231" t="s">
        <v>428</v>
      </c>
      <c r="B231" t="s">
        <v>429</v>
      </c>
      <c r="C231" t="s">
        <v>6</v>
      </c>
      <c r="E231">
        <f>COUNTIF(EXAMENES[CODIGO],Consulta1[[#This Row],[EXACOD]])</f>
        <v>1</v>
      </c>
      <c r="H231" t="s">
        <v>33</v>
      </c>
      <c r="I231" t="s">
        <v>34</v>
      </c>
      <c r="J231" t="s">
        <v>2</v>
      </c>
    </row>
    <row r="232" spans="1:10" x14ac:dyDescent="0.35">
      <c r="A232" t="s">
        <v>448</v>
      </c>
      <c r="B232" t="s">
        <v>449</v>
      </c>
      <c r="C232" t="s">
        <v>6</v>
      </c>
      <c r="E232">
        <f>COUNTIF(EXAMENES[CODIGO],Consulta1[[#This Row],[EXACOD]])</f>
        <v>1</v>
      </c>
      <c r="H232" t="s">
        <v>21</v>
      </c>
      <c r="I232" t="s">
        <v>22</v>
      </c>
      <c r="J232" t="s">
        <v>2</v>
      </c>
    </row>
    <row r="233" spans="1:10" x14ac:dyDescent="0.35">
      <c r="A233" t="s">
        <v>446</v>
      </c>
      <c r="B233" t="s">
        <v>447</v>
      </c>
      <c r="C233" t="s">
        <v>6</v>
      </c>
      <c r="E233">
        <f>COUNTIF(EXAMENES[CODIGO],Consulta1[[#This Row],[EXACOD]])</f>
        <v>1</v>
      </c>
      <c r="H233" t="s">
        <v>136</v>
      </c>
      <c r="I233" t="s">
        <v>137</v>
      </c>
      <c r="J233" t="s">
        <v>2</v>
      </c>
    </row>
    <row r="234" spans="1:10" x14ac:dyDescent="0.35">
      <c r="A234" t="s">
        <v>450</v>
      </c>
      <c r="B234" t="s">
        <v>451</v>
      </c>
      <c r="C234" t="s">
        <v>6</v>
      </c>
      <c r="E234">
        <f>COUNTIF(EXAMENES[CODIGO],Consulta1[[#This Row],[EXACOD]])</f>
        <v>1</v>
      </c>
      <c r="H234" t="s">
        <v>268</v>
      </c>
      <c r="I234" t="s">
        <v>269</v>
      </c>
      <c r="J234" t="s">
        <v>2</v>
      </c>
    </row>
    <row r="235" spans="1:10" x14ac:dyDescent="0.35">
      <c r="A235" t="s">
        <v>452</v>
      </c>
      <c r="B235" t="s">
        <v>453</v>
      </c>
      <c r="C235" t="s">
        <v>6</v>
      </c>
      <c r="E235">
        <f>COUNTIF(EXAMENES[CODIGO],Consulta1[[#This Row],[EXACOD]])</f>
        <v>1</v>
      </c>
      <c r="H235" t="s">
        <v>294</v>
      </c>
      <c r="I235" t="s">
        <v>295</v>
      </c>
      <c r="J235" t="s">
        <v>2</v>
      </c>
    </row>
    <row r="236" spans="1:10" x14ac:dyDescent="0.35">
      <c r="A236" t="s">
        <v>442</v>
      </c>
      <c r="B236" t="s">
        <v>443</v>
      </c>
      <c r="C236" t="s">
        <v>6</v>
      </c>
      <c r="E236">
        <f>COUNTIF(EXAMENES[CODIGO],Consulta1[[#This Row],[EXACOD]])</f>
        <v>1</v>
      </c>
      <c r="H236" t="s">
        <v>298</v>
      </c>
      <c r="I236" t="s">
        <v>299</v>
      </c>
      <c r="J236" t="s">
        <v>2</v>
      </c>
    </row>
    <row r="237" spans="1:10" x14ac:dyDescent="0.35">
      <c r="A237" t="s">
        <v>110</v>
      </c>
      <c r="B237" t="s">
        <v>111</v>
      </c>
      <c r="C237" t="s">
        <v>2</v>
      </c>
      <c r="E237">
        <f>COUNTIF(EXAMENES[CODIGO],Consulta1[[#This Row],[EXACOD]])</f>
        <v>1</v>
      </c>
      <c r="H237" t="s">
        <v>378</v>
      </c>
      <c r="I237" t="s">
        <v>379</v>
      </c>
      <c r="J237" t="s">
        <v>2</v>
      </c>
    </row>
    <row r="238" spans="1:10" x14ac:dyDescent="0.35">
      <c r="A238" t="s">
        <v>862</v>
      </c>
      <c r="B238" t="s">
        <v>907</v>
      </c>
      <c r="C238" t="s">
        <v>2</v>
      </c>
      <c r="E238">
        <f>COUNTIF(EXAMENES[CODIGO],Consulta1[[#This Row],[EXACOD]])</f>
        <v>1</v>
      </c>
      <c r="H238" t="s">
        <v>390</v>
      </c>
      <c r="I238" t="s">
        <v>391</v>
      </c>
      <c r="J238" t="s">
        <v>2</v>
      </c>
    </row>
    <row r="239" spans="1:10" x14ac:dyDescent="0.35">
      <c r="A239" t="s">
        <v>7</v>
      </c>
      <c r="B239" t="s">
        <v>8</v>
      </c>
      <c r="C239" t="s">
        <v>2</v>
      </c>
      <c r="E239">
        <f>COUNTIF(EXAMENES[CODIGO],Consulta1[[#This Row],[EXACOD]])</f>
        <v>1</v>
      </c>
      <c r="H239" t="s">
        <v>312</v>
      </c>
      <c r="I239" t="s">
        <v>313</v>
      </c>
      <c r="J239" t="s">
        <v>2</v>
      </c>
    </row>
    <row r="240" spans="1:10" x14ac:dyDescent="0.35">
      <c r="A240" t="s">
        <v>9</v>
      </c>
      <c r="B240" t="s">
        <v>10</v>
      </c>
      <c r="C240" t="s">
        <v>2</v>
      </c>
      <c r="E240">
        <f>COUNTIF(EXAMENES[CODIGO],Consulta1[[#This Row],[EXACOD]])</f>
        <v>1</v>
      </c>
      <c r="H240" t="s">
        <v>322</v>
      </c>
      <c r="I240" t="s">
        <v>323</v>
      </c>
      <c r="J240" t="s">
        <v>2</v>
      </c>
    </row>
    <row r="241" spans="1:10" x14ac:dyDescent="0.35">
      <c r="A241" t="s">
        <v>11</v>
      </c>
      <c r="B241" t="s">
        <v>12</v>
      </c>
      <c r="C241" t="s">
        <v>2</v>
      </c>
      <c r="E241">
        <f>COUNTIF(EXAMENES[CODIGO],Consulta1[[#This Row],[EXACOD]])</f>
        <v>1</v>
      </c>
      <c r="H241" t="s">
        <v>328</v>
      </c>
      <c r="I241" t="s">
        <v>329</v>
      </c>
      <c r="J241" t="s">
        <v>2</v>
      </c>
    </row>
    <row r="242" spans="1:10" x14ac:dyDescent="0.35">
      <c r="A242" t="s">
        <v>13</v>
      </c>
      <c r="B242" t="s">
        <v>14</v>
      </c>
      <c r="C242" t="s">
        <v>2</v>
      </c>
      <c r="E242">
        <f>COUNTIF(EXAMENES[CODIGO],Consulta1[[#This Row],[EXACOD]])</f>
        <v>1</v>
      </c>
      <c r="H242" t="s">
        <v>402</v>
      </c>
      <c r="I242" t="s">
        <v>403</v>
      </c>
      <c r="J242" t="s">
        <v>2</v>
      </c>
    </row>
    <row r="243" spans="1:10" x14ac:dyDescent="0.35">
      <c r="A243" t="s">
        <v>15</v>
      </c>
      <c r="B243" t="s">
        <v>16</v>
      </c>
      <c r="C243" t="s">
        <v>2</v>
      </c>
      <c r="E243">
        <f>COUNTIF(EXAMENES[CODIGO],Consulta1[[#This Row],[EXACOD]])</f>
        <v>1</v>
      </c>
      <c r="H243" t="s">
        <v>416</v>
      </c>
      <c r="I243" t="s">
        <v>417</v>
      </c>
      <c r="J243" t="s">
        <v>2</v>
      </c>
    </row>
    <row r="244" spans="1:10" x14ac:dyDescent="0.35">
      <c r="A244" t="s">
        <v>17</v>
      </c>
      <c r="B244" t="s">
        <v>18</v>
      </c>
      <c r="C244" t="s">
        <v>2</v>
      </c>
      <c r="E244">
        <f>COUNTIF(EXAMENES[CODIGO],Consulta1[[#This Row],[EXACOD]])</f>
        <v>1</v>
      </c>
      <c r="H244" t="s">
        <v>424</v>
      </c>
      <c r="I244" t="s">
        <v>425</v>
      </c>
      <c r="J244" t="s">
        <v>2</v>
      </c>
    </row>
    <row r="245" spans="1:10" x14ac:dyDescent="0.35">
      <c r="A245" t="s">
        <v>19</v>
      </c>
      <c r="B245" t="s">
        <v>20</v>
      </c>
      <c r="C245" t="s">
        <v>2</v>
      </c>
      <c r="E245">
        <f>COUNTIF(EXAMENES[CODIGO],Consulta1[[#This Row],[EXACOD]])</f>
        <v>1</v>
      </c>
      <c r="H245" t="s">
        <v>11</v>
      </c>
      <c r="I245" t="s">
        <v>12</v>
      </c>
      <c r="J245" t="s">
        <v>2</v>
      </c>
    </row>
    <row r="246" spans="1:10" x14ac:dyDescent="0.35">
      <c r="A246" t="s">
        <v>21</v>
      </c>
      <c r="B246" t="s">
        <v>22</v>
      </c>
      <c r="C246" t="s">
        <v>2</v>
      </c>
      <c r="E246">
        <f>COUNTIF(EXAMENES[CODIGO],Consulta1[[#This Row],[EXACOD]])</f>
        <v>1</v>
      </c>
      <c r="H246" t="s">
        <v>15</v>
      </c>
      <c r="I246" t="s">
        <v>16</v>
      </c>
      <c r="J246" t="s">
        <v>2</v>
      </c>
    </row>
    <row r="247" spans="1:10" x14ac:dyDescent="0.35">
      <c r="A247" t="s">
        <v>112</v>
      </c>
      <c r="B247" t="s">
        <v>113</v>
      </c>
      <c r="C247" t="s">
        <v>2</v>
      </c>
      <c r="E247">
        <f>COUNTIF(EXAMENES[CODIGO],Consulta1[[#This Row],[EXACOD]])</f>
        <v>1</v>
      </c>
      <c r="H247" t="s">
        <v>35</v>
      </c>
      <c r="I247" t="s">
        <v>36</v>
      </c>
      <c r="J247" t="s">
        <v>2</v>
      </c>
    </row>
    <row r="248" spans="1:10" x14ac:dyDescent="0.35">
      <c r="A248" t="s">
        <v>136</v>
      </c>
      <c r="B248" t="s">
        <v>137</v>
      </c>
      <c r="C248" t="s">
        <v>2</v>
      </c>
      <c r="E248">
        <f>COUNTIF(EXAMENES[CODIGO],Consulta1[[#This Row],[EXACOD]])</f>
        <v>1</v>
      </c>
      <c r="H248" t="s">
        <v>270</v>
      </c>
      <c r="I248" t="s">
        <v>271</v>
      </c>
      <c r="J248" t="s">
        <v>2</v>
      </c>
    </row>
    <row r="249" spans="1:10" x14ac:dyDescent="0.35">
      <c r="A249" t="s">
        <v>148</v>
      </c>
      <c r="B249" t="s">
        <v>149</v>
      </c>
      <c r="C249" t="s">
        <v>2</v>
      </c>
      <c r="E249">
        <f>COUNTIF(EXAMENES[CODIGO],Consulta1[[#This Row],[EXACOD]])</f>
        <v>1</v>
      </c>
      <c r="H249" t="s">
        <v>284</v>
      </c>
      <c r="I249" t="s">
        <v>285</v>
      </c>
      <c r="J249" t="s">
        <v>2</v>
      </c>
    </row>
    <row r="250" spans="1:10" x14ac:dyDescent="0.35">
      <c r="A250" t="s">
        <v>23</v>
      </c>
      <c r="B250" t="s">
        <v>24</v>
      </c>
      <c r="C250" t="s">
        <v>2</v>
      </c>
      <c r="E250">
        <f>COUNTIF(EXAMENES[CODIGO],Consulta1[[#This Row],[EXACOD]])</f>
        <v>1</v>
      </c>
      <c r="H250" t="s">
        <v>386</v>
      </c>
      <c r="I250" t="s">
        <v>387</v>
      </c>
      <c r="J250" t="s">
        <v>2</v>
      </c>
    </row>
    <row r="251" spans="1:10" x14ac:dyDescent="0.35">
      <c r="A251" t="s">
        <v>25</v>
      </c>
      <c r="B251" t="s">
        <v>26</v>
      </c>
      <c r="C251" t="s">
        <v>2</v>
      </c>
      <c r="E251">
        <f>COUNTIF(EXAMENES[CODIGO],Consulta1[[#This Row],[EXACOD]])</f>
        <v>1</v>
      </c>
      <c r="H251" t="s">
        <v>308</v>
      </c>
      <c r="I251" t="s">
        <v>309</v>
      </c>
      <c r="J251" t="s">
        <v>2</v>
      </c>
    </row>
    <row r="252" spans="1:10" x14ac:dyDescent="0.35">
      <c r="A252" t="s">
        <v>27</v>
      </c>
      <c r="B252" t="s">
        <v>28</v>
      </c>
      <c r="C252" t="s">
        <v>2</v>
      </c>
      <c r="E252">
        <f>COUNTIF(EXAMENES[CODIGO],Consulta1[[#This Row],[EXACOD]])</f>
        <v>1</v>
      </c>
      <c r="H252" t="s">
        <v>332</v>
      </c>
      <c r="I252" t="s">
        <v>333</v>
      </c>
      <c r="J252" t="s">
        <v>2</v>
      </c>
    </row>
    <row r="253" spans="1:10" x14ac:dyDescent="0.35">
      <c r="A253" t="s">
        <v>29</v>
      </c>
      <c r="B253" t="s">
        <v>30</v>
      </c>
      <c r="C253" t="s">
        <v>2</v>
      </c>
      <c r="E253">
        <f>COUNTIF(EXAMENES[CODIGO],Consulta1[[#This Row],[EXACOD]])</f>
        <v>1</v>
      </c>
      <c r="H253" t="s">
        <v>430</v>
      </c>
      <c r="I253" t="s">
        <v>431</v>
      </c>
      <c r="J253" t="s">
        <v>2</v>
      </c>
    </row>
    <row r="254" spans="1:10" x14ac:dyDescent="0.35">
      <c r="A254" t="s">
        <v>114</v>
      </c>
      <c r="B254" t="s">
        <v>115</v>
      </c>
      <c r="C254" t="s">
        <v>2</v>
      </c>
      <c r="E254">
        <f>COUNTIF(EXAMENES[CODIGO],Consulta1[[#This Row],[EXACOD]])</f>
        <v>1</v>
      </c>
      <c r="H254" t="s">
        <v>432</v>
      </c>
      <c r="I254" t="s">
        <v>433</v>
      </c>
      <c r="J254" t="s">
        <v>2</v>
      </c>
    </row>
    <row r="255" spans="1:10" x14ac:dyDescent="0.35">
      <c r="A255" t="s">
        <v>31</v>
      </c>
      <c r="B255" t="s">
        <v>32</v>
      </c>
      <c r="C255" t="s">
        <v>2</v>
      </c>
      <c r="E255">
        <f>COUNTIF(EXAMENES[CODIGO],Consulta1[[#This Row],[EXACOD]])</f>
        <v>1</v>
      </c>
      <c r="H255" t="s">
        <v>394</v>
      </c>
      <c r="I255" t="s">
        <v>395</v>
      </c>
      <c r="J255" t="s">
        <v>2</v>
      </c>
    </row>
    <row r="256" spans="1:10" x14ac:dyDescent="0.35">
      <c r="A256" t="s">
        <v>33</v>
      </c>
      <c r="B256" t="s">
        <v>34</v>
      </c>
      <c r="C256" t="s">
        <v>2</v>
      </c>
      <c r="E256">
        <f>COUNTIF(EXAMENES[CODIGO],Consulta1[[#This Row],[EXACOD]])</f>
        <v>1</v>
      </c>
      <c r="H256" t="s">
        <v>227</v>
      </c>
      <c r="I256" t="s">
        <v>228</v>
      </c>
      <c r="J256" t="s">
        <v>2</v>
      </c>
    </row>
    <row r="257" spans="1:10" x14ac:dyDescent="0.35">
      <c r="A257" t="s">
        <v>35</v>
      </c>
      <c r="B257" t="s">
        <v>36</v>
      </c>
      <c r="C257" t="s">
        <v>2</v>
      </c>
      <c r="E257">
        <f>COUNTIF(EXAMENES[CODIGO],Consulta1[[#This Row],[EXACOD]])</f>
        <v>1</v>
      </c>
      <c r="H257" t="s">
        <v>304</v>
      </c>
      <c r="I257" t="s">
        <v>305</v>
      </c>
      <c r="J257" t="s">
        <v>2</v>
      </c>
    </row>
    <row r="258" spans="1:10" x14ac:dyDescent="0.35">
      <c r="A258" t="s">
        <v>116</v>
      </c>
      <c r="B258" t="s">
        <v>117</v>
      </c>
      <c r="C258" t="s">
        <v>2</v>
      </c>
      <c r="E258">
        <f>COUNTIF(EXAMENES[CODIGO],Consulta1[[#This Row],[EXACOD]])</f>
        <v>1</v>
      </c>
      <c r="H258" t="s">
        <v>382</v>
      </c>
      <c r="I258" t="s">
        <v>383</v>
      </c>
      <c r="J258" t="s">
        <v>2</v>
      </c>
    </row>
    <row r="259" spans="1:10" x14ac:dyDescent="0.35">
      <c r="A259" t="s">
        <v>216</v>
      </c>
      <c r="B259" t="s">
        <v>217</v>
      </c>
      <c r="C259" t="s">
        <v>2</v>
      </c>
      <c r="E259">
        <f>COUNTIF(EXAMENES[CODIGO],Consulta1[[#This Row],[EXACOD]])</f>
        <v>1</v>
      </c>
      <c r="H259" t="s">
        <v>366</v>
      </c>
      <c r="I259" t="s">
        <v>367</v>
      </c>
      <c r="J259" t="s">
        <v>2</v>
      </c>
    </row>
    <row r="260" spans="1:10" x14ac:dyDescent="0.35">
      <c r="A260" t="s">
        <v>334</v>
      </c>
      <c r="B260" t="s">
        <v>335</v>
      </c>
      <c r="C260" t="s">
        <v>2</v>
      </c>
      <c r="E260">
        <f>COUNTIF(EXAMENES[CODIGO],Consulta1[[#This Row],[EXACOD]])</f>
        <v>1</v>
      </c>
      <c r="H260" t="s">
        <v>370</v>
      </c>
      <c r="I260" t="s">
        <v>371</v>
      </c>
      <c r="J260" t="s">
        <v>2</v>
      </c>
    </row>
    <row r="261" spans="1:10" x14ac:dyDescent="0.35">
      <c r="A261" t="s">
        <v>1003</v>
      </c>
      <c r="B261" t="s">
        <v>1004</v>
      </c>
      <c r="C261" t="s">
        <v>2</v>
      </c>
      <c r="E261">
        <f>COUNTIF(EXAMENES[CODIGO],Consulta1[[#This Row],[EXACOD]])</f>
        <v>0</v>
      </c>
      <c r="H261" t="s">
        <v>374</v>
      </c>
      <c r="I261" t="s">
        <v>375</v>
      </c>
      <c r="J261" t="s">
        <v>2</v>
      </c>
    </row>
    <row r="262" spans="1:10" x14ac:dyDescent="0.35">
      <c r="A262" t="s">
        <v>1005</v>
      </c>
      <c r="B262" t="s">
        <v>1006</v>
      </c>
      <c r="C262" t="s">
        <v>2</v>
      </c>
      <c r="E262">
        <f>COUNTIF(EXAMENES[CODIGO],Consulta1[[#This Row],[EXACOD]])</f>
        <v>0</v>
      </c>
      <c r="H262" t="s">
        <v>392</v>
      </c>
      <c r="I262" t="s">
        <v>393</v>
      </c>
      <c r="J262" t="s">
        <v>2</v>
      </c>
    </row>
    <row r="263" spans="1:10" x14ac:dyDescent="0.35">
      <c r="A263" t="s">
        <v>227</v>
      </c>
      <c r="B263" t="s">
        <v>228</v>
      </c>
      <c r="C263" t="s">
        <v>2</v>
      </c>
      <c r="E263">
        <f>COUNTIF(EXAMENES[CODIGO],Consulta1[[#This Row],[EXACOD]])</f>
        <v>1</v>
      </c>
      <c r="H263" t="s">
        <v>418</v>
      </c>
      <c r="I263" t="s">
        <v>419</v>
      </c>
      <c r="J263" t="s">
        <v>2</v>
      </c>
    </row>
    <row r="264" spans="1:10" x14ac:dyDescent="0.35">
      <c r="A264" t="s">
        <v>905</v>
      </c>
      <c r="B264" t="s">
        <v>906</v>
      </c>
      <c r="C264" t="s">
        <v>2</v>
      </c>
      <c r="E264">
        <f>COUNTIF(EXAMENES[CODIGO],Consulta1[[#This Row],[EXACOD]])</f>
        <v>0</v>
      </c>
      <c r="H264" t="s">
        <v>422</v>
      </c>
      <c r="I264" t="s">
        <v>423</v>
      </c>
      <c r="J264" t="s">
        <v>2</v>
      </c>
    </row>
    <row r="265" spans="1:10" x14ac:dyDescent="0.35">
      <c r="A265" t="s">
        <v>406</v>
      </c>
      <c r="B265" t="s">
        <v>407</v>
      </c>
      <c r="C265" t="s">
        <v>2</v>
      </c>
      <c r="E265">
        <f>COUNTIF(EXAMENES[CODIGO],Consulta1[[#This Row],[EXACOD]])</f>
        <v>1</v>
      </c>
      <c r="H265" t="s">
        <v>0</v>
      </c>
      <c r="I265" t="s">
        <v>1</v>
      </c>
      <c r="J265" t="s">
        <v>2</v>
      </c>
    </row>
    <row r="266" spans="1:10" x14ac:dyDescent="0.35">
      <c r="A266" t="s">
        <v>392</v>
      </c>
      <c r="B266" t="s">
        <v>393</v>
      </c>
      <c r="C266" t="s">
        <v>2</v>
      </c>
      <c r="E266">
        <f>COUNTIF(EXAMENES[CODIGO],Consulta1[[#This Row],[EXACOD]])</f>
        <v>1</v>
      </c>
      <c r="H266" t="s">
        <v>148</v>
      </c>
      <c r="I266" t="s">
        <v>149</v>
      </c>
      <c r="J266" t="s">
        <v>2</v>
      </c>
    </row>
    <row r="267" spans="1:10" x14ac:dyDescent="0.35">
      <c r="A267" t="s">
        <v>402</v>
      </c>
      <c r="B267" t="s">
        <v>403</v>
      </c>
      <c r="C267" t="s">
        <v>2</v>
      </c>
      <c r="E267">
        <f>COUNTIF(EXAMENES[CODIGO],Consulta1[[#This Row],[EXACOD]])</f>
        <v>1</v>
      </c>
      <c r="H267" t="s">
        <v>17</v>
      </c>
      <c r="I267" t="s">
        <v>18</v>
      </c>
      <c r="J267" t="s">
        <v>2</v>
      </c>
    </row>
    <row r="268" spans="1:10" x14ac:dyDescent="0.35">
      <c r="A268" t="s">
        <v>396</v>
      </c>
      <c r="B268" t="s">
        <v>397</v>
      </c>
      <c r="C268" t="s">
        <v>2</v>
      </c>
      <c r="E268">
        <f>COUNTIF(EXAMENES[CODIGO],Consulta1[[#This Row],[EXACOD]])</f>
        <v>1</v>
      </c>
      <c r="H268" t="s">
        <v>23</v>
      </c>
      <c r="I268" t="s">
        <v>24</v>
      </c>
      <c r="J268" t="s">
        <v>2</v>
      </c>
    </row>
    <row r="269" spans="1:10" x14ac:dyDescent="0.35">
      <c r="A269" t="s">
        <v>364</v>
      </c>
      <c r="B269" t="s">
        <v>365</v>
      </c>
      <c r="C269" t="s">
        <v>2</v>
      </c>
      <c r="E269">
        <f>COUNTIF(EXAMENES[CODIGO],Consulta1[[#This Row],[EXACOD]])</f>
        <v>1</v>
      </c>
      <c r="H269" t="s">
        <v>272</v>
      </c>
      <c r="I269" t="s">
        <v>273</v>
      </c>
      <c r="J269" t="s">
        <v>2</v>
      </c>
    </row>
    <row r="270" spans="1:10" x14ac:dyDescent="0.35">
      <c r="A270" t="s">
        <v>372</v>
      </c>
      <c r="B270" t="s">
        <v>373</v>
      </c>
      <c r="C270" t="s">
        <v>2</v>
      </c>
      <c r="E270">
        <f>COUNTIF(EXAMENES[CODIGO],Consulta1[[#This Row],[EXACOD]])</f>
        <v>1</v>
      </c>
      <c r="H270" t="s">
        <v>278</v>
      </c>
      <c r="I270" t="s">
        <v>279</v>
      </c>
      <c r="J270" t="s">
        <v>2</v>
      </c>
    </row>
    <row r="271" spans="1:10" x14ac:dyDescent="0.35">
      <c r="A271" t="s">
        <v>388</v>
      </c>
      <c r="B271" t="s">
        <v>389</v>
      </c>
      <c r="C271" t="s">
        <v>2</v>
      </c>
      <c r="E271">
        <f>COUNTIF(EXAMENES[CODIGO],Consulta1[[#This Row],[EXACOD]])</f>
        <v>1</v>
      </c>
      <c r="H271" t="s">
        <v>280</v>
      </c>
      <c r="I271" t="s">
        <v>281</v>
      </c>
      <c r="J271" t="s">
        <v>2</v>
      </c>
    </row>
    <row r="272" spans="1:10" x14ac:dyDescent="0.35">
      <c r="A272" t="s">
        <v>1007</v>
      </c>
      <c r="B272" t="s">
        <v>1008</v>
      </c>
      <c r="C272" t="s">
        <v>2</v>
      </c>
      <c r="E272">
        <f>COUNTIF(EXAMENES[CODIGO],Consulta1[[#This Row],[EXACOD]])</f>
        <v>0</v>
      </c>
      <c r="H272" t="s">
        <v>288</v>
      </c>
      <c r="I272" t="s">
        <v>289</v>
      </c>
      <c r="J272" t="s">
        <v>2</v>
      </c>
    </row>
    <row r="273" spans="1:10" x14ac:dyDescent="0.35">
      <c r="A273" t="s">
        <v>412</v>
      </c>
      <c r="B273" t="s">
        <v>413</v>
      </c>
      <c r="C273" t="s">
        <v>2</v>
      </c>
      <c r="E273">
        <f>COUNTIF(EXAMENES[CODIGO],Consulta1[[#This Row],[EXACOD]])</f>
        <v>1</v>
      </c>
      <c r="H273" t="s">
        <v>320</v>
      </c>
      <c r="I273" t="s">
        <v>321</v>
      </c>
      <c r="J273" t="s">
        <v>2</v>
      </c>
    </row>
    <row r="274" spans="1:10" x14ac:dyDescent="0.35">
      <c r="A274" t="s">
        <v>400</v>
      </c>
      <c r="B274" t="s">
        <v>401</v>
      </c>
      <c r="C274" t="s">
        <v>2</v>
      </c>
      <c r="E274">
        <f>COUNTIF(EXAMENES[CODIGO],Consulta1[[#This Row],[EXACOD]])</f>
        <v>1</v>
      </c>
      <c r="H274" t="s">
        <v>334</v>
      </c>
      <c r="I274" t="s">
        <v>335</v>
      </c>
      <c r="J274" t="s">
        <v>2</v>
      </c>
    </row>
    <row r="275" spans="1:10" x14ac:dyDescent="0.35">
      <c r="A275" t="s">
        <v>328</v>
      </c>
      <c r="B275" t="s">
        <v>329</v>
      </c>
      <c r="C275" t="s">
        <v>2</v>
      </c>
      <c r="E275">
        <f>COUNTIF(EXAMENES[CODIGO],Consulta1[[#This Row],[EXACOD]])</f>
        <v>1</v>
      </c>
      <c r="H275" t="s">
        <v>400</v>
      </c>
      <c r="I275" t="s">
        <v>401</v>
      </c>
      <c r="J275" t="s">
        <v>2</v>
      </c>
    </row>
    <row r="276" spans="1:10" x14ac:dyDescent="0.35">
      <c r="A276" t="s">
        <v>414</v>
      </c>
      <c r="B276" t="s">
        <v>415</v>
      </c>
      <c r="C276" t="s">
        <v>2</v>
      </c>
      <c r="E276">
        <f>COUNTIF(EXAMENES[CODIGO],Consulta1[[#This Row],[EXACOD]])</f>
        <v>1</v>
      </c>
      <c r="H276" t="s">
        <v>412</v>
      </c>
      <c r="I276" t="s">
        <v>413</v>
      </c>
      <c r="J276" t="s">
        <v>2</v>
      </c>
    </row>
    <row r="277" spans="1:10" x14ac:dyDescent="0.35">
      <c r="A277" t="s">
        <v>366</v>
      </c>
      <c r="B277" t="s">
        <v>367</v>
      </c>
      <c r="C277" t="s">
        <v>2</v>
      </c>
      <c r="E277">
        <f>COUNTIF(EXAMENES[CODIGO],Consulta1[[#This Row],[EXACOD]])</f>
        <v>1</v>
      </c>
      <c r="H277" t="s">
        <v>9</v>
      </c>
      <c r="I277" t="s">
        <v>10</v>
      </c>
      <c r="J277" t="s">
        <v>2</v>
      </c>
    </row>
    <row r="278" spans="1:10" x14ac:dyDescent="0.35">
      <c r="A278" t="s">
        <v>908</v>
      </c>
      <c r="B278" t="s">
        <v>909</v>
      </c>
      <c r="C278" t="s">
        <v>2</v>
      </c>
      <c r="E278">
        <f>COUNTIF(EXAMENES[CODIGO],Consulta1[[#This Row],[EXACOD]])</f>
        <v>0</v>
      </c>
      <c r="H278" t="s">
        <v>274</v>
      </c>
      <c r="I278" t="s">
        <v>275</v>
      </c>
      <c r="J278" t="s">
        <v>2</v>
      </c>
    </row>
    <row r="279" spans="1:10" x14ac:dyDescent="0.35">
      <c r="A279" t="s">
        <v>418</v>
      </c>
      <c r="B279" t="s">
        <v>419</v>
      </c>
      <c r="C279" t="s">
        <v>2</v>
      </c>
      <c r="E279">
        <f>COUNTIF(EXAMENES[CODIGO],Consulta1[[#This Row],[EXACOD]])</f>
        <v>1</v>
      </c>
      <c r="H279" t="s">
        <v>282</v>
      </c>
      <c r="I279" t="s">
        <v>283</v>
      </c>
      <c r="J279" t="s">
        <v>2</v>
      </c>
    </row>
    <row r="280" spans="1:10" x14ac:dyDescent="0.35">
      <c r="A280" t="s">
        <v>966</v>
      </c>
      <c r="B280" t="s">
        <v>967</v>
      </c>
      <c r="C280" t="s">
        <v>2</v>
      </c>
      <c r="E280">
        <f>COUNTIF(EXAMENES[CODIGO],Consulta1[[#This Row],[EXACOD]])</f>
        <v>0</v>
      </c>
      <c r="H280" t="s">
        <v>296</v>
      </c>
      <c r="I280" t="s">
        <v>297</v>
      </c>
      <c r="J280" t="s">
        <v>2</v>
      </c>
    </row>
    <row r="281" spans="1:10" x14ac:dyDescent="0.35">
      <c r="A281" t="s">
        <v>376</v>
      </c>
      <c r="B281" t="s">
        <v>377</v>
      </c>
      <c r="C281" t="s">
        <v>2</v>
      </c>
      <c r="E281">
        <f>COUNTIF(EXAMENES[CODIGO],Consulta1[[#This Row],[EXACOD]])</f>
        <v>1</v>
      </c>
      <c r="H281" t="s">
        <v>314</v>
      </c>
      <c r="I281" t="s">
        <v>315</v>
      </c>
      <c r="J281" t="s">
        <v>2</v>
      </c>
    </row>
    <row r="282" spans="1:10" x14ac:dyDescent="0.35">
      <c r="A282" t="s">
        <v>432</v>
      </c>
      <c r="B282" t="s">
        <v>433</v>
      </c>
      <c r="C282" t="s">
        <v>2</v>
      </c>
      <c r="E282">
        <f>COUNTIF(EXAMENES[CODIGO],Consulta1[[#This Row],[EXACOD]])</f>
        <v>1</v>
      </c>
      <c r="H282" t="s">
        <v>406</v>
      </c>
      <c r="I282" t="s">
        <v>407</v>
      </c>
      <c r="J282" t="s">
        <v>2</v>
      </c>
    </row>
    <row r="283" spans="1:10" x14ac:dyDescent="0.35">
      <c r="A283" t="s">
        <v>342</v>
      </c>
      <c r="B283" t="s">
        <v>343</v>
      </c>
      <c r="C283" t="s">
        <v>2</v>
      </c>
      <c r="E283">
        <f>COUNTIF(EXAMENES[CODIGO],Consulta1[[#This Row],[EXACOD]])</f>
        <v>1</v>
      </c>
      <c r="H283" t="s">
        <v>414</v>
      </c>
      <c r="I283" t="s">
        <v>415</v>
      </c>
      <c r="J283" t="s">
        <v>2</v>
      </c>
    </row>
    <row r="284" spans="1:10" x14ac:dyDescent="0.35">
      <c r="A284" t="s">
        <v>282</v>
      </c>
      <c r="B284" t="s">
        <v>283</v>
      </c>
      <c r="C284" t="s">
        <v>2</v>
      </c>
      <c r="E284">
        <f>COUNTIF(EXAMENES[CODIGO],Consulta1[[#This Row],[EXACOD]])</f>
        <v>1</v>
      </c>
      <c r="H284" t="s">
        <v>31</v>
      </c>
      <c r="I284" t="s">
        <v>32</v>
      </c>
      <c r="J284" t="s">
        <v>2</v>
      </c>
    </row>
    <row r="285" spans="1:10" x14ac:dyDescent="0.35">
      <c r="A285" t="s">
        <v>374</v>
      </c>
      <c r="B285" t="s">
        <v>375</v>
      </c>
      <c r="C285" t="s">
        <v>2</v>
      </c>
      <c r="E285">
        <f>COUNTIF(EXAMENES[CODIGO],Consulta1[[#This Row],[EXACOD]])</f>
        <v>1</v>
      </c>
      <c r="H285" t="s">
        <v>276</v>
      </c>
      <c r="I285" t="s">
        <v>277</v>
      </c>
      <c r="J285" t="s">
        <v>2</v>
      </c>
    </row>
    <row r="286" spans="1:10" x14ac:dyDescent="0.35">
      <c r="A286" t="s">
        <v>426</v>
      </c>
      <c r="B286" t="s">
        <v>427</v>
      </c>
      <c r="C286" t="s">
        <v>2</v>
      </c>
      <c r="E286">
        <f>COUNTIF(EXAMENES[CODIGO],Consulta1[[#This Row],[EXACOD]])</f>
        <v>1</v>
      </c>
      <c r="H286" t="s">
        <v>290</v>
      </c>
      <c r="I286" t="s">
        <v>291</v>
      </c>
      <c r="J286" t="s">
        <v>2</v>
      </c>
    </row>
    <row r="287" spans="1:10" x14ac:dyDescent="0.35">
      <c r="A287" t="s">
        <v>286</v>
      </c>
      <c r="B287" t="s">
        <v>287</v>
      </c>
      <c r="C287" t="s">
        <v>2</v>
      </c>
      <c r="E287">
        <f>COUNTIF(EXAMENES[CODIGO],Consulta1[[#This Row],[EXACOD]])</f>
        <v>1</v>
      </c>
      <c r="H287" t="s">
        <v>292</v>
      </c>
      <c r="I287" t="s">
        <v>293</v>
      </c>
      <c r="J287" t="s">
        <v>2</v>
      </c>
    </row>
    <row r="288" spans="1:10" x14ac:dyDescent="0.35">
      <c r="A288" t="s">
        <v>296</v>
      </c>
      <c r="B288" t="s">
        <v>297</v>
      </c>
      <c r="C288" t="s">
        <v>2</v>
      </c>
      <c r="E288">
        <f>COUNTIF(EXAMENES[CODIGO],Consulta1[[#This Row],[EXACOD]])</f>
        <v>1</v>
      </c>
      <c r="H288" t="s">
        <v>300</v>
      </c>
      <c r="I288" t="s">
        <v>301</v>
      </c>
      <c r="J288" t="s">
        <v>2</v>
      </c>
    </row>
    <row r="289" spans="1:10" x14ac:dyDescent="0.35">
      <c r="A289" t="s">
        <v>378</v>
      </c>
      <c r="B289" t="s">
        <v>379</v>
      </c>
      <c r="C289" t="s">
        <v>2</v>
      </c>
      <c r="E289">
        <f>COUNTIF(EXAMENES[CODIGO],Consulta1[[#This Row],[EXACOD]])</f>
        <v>1</v>
      </c>
      <c r="H289" t="s">
        <v>380</v>
      </c>
      <c r="I289" t="s">
        <v>381</v>
      </c>
      <c r="J289" t="s">
        <v>2</v>
      </c>
    </row>
    <row r="290" spans="1:10" x14ac:dyDescent="0.35">
      <c r="A290" t="s">
        <v>332</v>
      </c>
      <c r="B290" t="s">
        <v>333</v>
      </c>
      <c r="C290" t="s">
        <v>2</v>
      </c>
      <c r="E290">
        <f>COUNTIF(EXAMENES[CODIGO],Consulta1[[#This Row],[EXACOD]])</f>
        <v>1</v>
      </c>
      <c r="H290" t="s">
        <v>306</v>
      </c>
      <c r="I290" t="s">
        <v>307</v>
      </c>
      <c r="J290" t="s">
        <v>2</v>
      </c>
    </row>
    <row r="291" spans="1:10" x14ac:dyDescent="0.35">
      <c r="A291" t="s">
        <v>322</v>
      </c>
      <c r="B291" t="s">
        <v>323</v>
      </c>
      <c r="C291" t="s">
        <v>2</v>
      </c>
      <c r="E291">
        <f>COUNTIF(EXAMENES[CODIGO],Consulta1[[#This Row],[EXACOD]])</f>
        <v>1</v>
      </c>
      <c r="H291" t="s">
        <v>310</v>
      </c>
      <c r="I291" t="s">
        <v>311</v>
      </c>
      <c r="J291" t="s">
        <v>2</v>
      </c>
    </row>
    <row r="292" spans="1:10" x14ac:dyDescent="0.35">
      <c r="A292" t="s">
        <v>268</v>
      </c>
      <c r="B292" t="s">
        <v>269</v>
      </c>
      <c r="C292" t="s">
        <v>2</v>
      </c>
      <c r="E292">
        <f>COUNTIF(EXAMENES[CODIGO],Consulta1[[#This Row],[EXACOD]])</f>
        <v>1</v>
      </c>
      <c r="H292" t="s">
        <v>318</v>
      </c>
      <c r="I292" t="s">
        <v>319</v>
      </c>
      <c r="J292" t="s">
        <v>2</v>
      </c>
    </row>
    <row r="293" spans="1:10" x14ac:dyDescent="0.35">
      <c r="A293" t="s">
        <v>408</v>
      </c>
      <c r="B293" t="s">
        <v>409</v>
      </c>
      <c r="C293" t="s">
        <v>2</v>
      </c>
      <c r="E293">
        <f>COUNTIF(EXAMENES[CODIGO],Consulta1[[#This Row],[EXACOD]])</f>
        <v>1</v>
      </c>
      <c r="H293" t="s">
        <v>342</v>
      </c>
      <c r="I293" t="s">
        <v>343</v>
      </c>
      <c r="J293" t="s">
        <v>2</v>
      </c>
    </row>
    <row r="294" spans="1:10" x14ac:dyDescent="0.35">
      <c r="A294" t="s">
        <v>410</v>
      </c>
      <c r="B294" t="s">
        <v>411</v>
      </c>
      <c r="C294" t="s">
        <v>2</v>
      </c>
      <c r="E294">
        <f>COUNTIF(EXAMENES[CODIGO],Consulta1[[#This Row],[EXACOD]])</f>
        <v>1</v>
      </c>
      <c r="H294" t="s">
        <v>372</v>
      </c>
      <c r="I294" t="s">
        <v>373</v>
      </c>
      <c r="J294" t="s">
        <v>2</v>
      </c>
    </row>
    <row r="295" spans="1:10" x14ac:dyDescent="0.35">
      <c r="A295" t="s">
        <v>278</v>
      </c>
      <c r="B295" t="s">
        <v>279</v>
      </c>
      <c r="C295" t="s">
        <v>2</v>
      </c>
      <c r="E295">
        <f>COUNTIF(EXAMENES[CODIGO],Consulta1[[#This Row],[EXACOD]])</f>
        <v>1</v>
      </c>
      <c r="H295" t="s">
        <v>426</v>
      </c>
      <c r="I295" t="s">
        <v>427</v>
      </c>
      <c r="J295" t="s">
        <v>2</v>
      </c>
    </row>
    <row r="296" spans="1:10" x14ac:dyDescent="0.35">
      <c r="A296" t="s">
        <v>300</v>
      </c>
      <c r="B296" t="s">
        <v>301</v>
      </c>
      <c r="C296" t="s">
        <v>2</v>
      </c>
      <c r="E296">
        <f>COUNTIF(EXAMENES[CODIGO],Consulta1[[#This Row],[EXACOD]])</f>
        <v>1</v>
      </c>
      <c r="H296" t="s">
        <v>112</v>
      </c>
      <c r="I296" t="s">
        <v>113</v>
      </c>
      <c r="J296" t="s">
        <v>2</v>
      </c>
    </row>
    <row r="297" spans="1:10" x14ac:dyDescent="0.35">
      <c r="A297" t="s">
        <v>370</v>
      </c>
      <c r="B297" t="s">
        <v>371</v>
      </c>
      <c r="C297" t="s">
        <v>2</v>
      </c>
      <c r="E297">
        <f>COUNTIF(EXAMENES[CODIGO],Consulta1[[#This Row],[EXACOD]])</f>
        <v>1</v>
      </c>
      <c r="H297" t="s">
        <v>116</v>
      </c>
      <c r="I297" t="s">
        <v>117</v>
      </c>
      <c r="J297" t="s">
        <v>2</v>
      </c>
    </row>
    <row r="298" spans="1:10" x14ac:dyDescent="0.35">
      <c r="A298" t="s">
        <v>382</v>
      </c>
      <c r="B298" t="s">
        <v>383</v>
      </c>
      <c r="C298" t="s">
        <v>2</v>
      </c>
      <c r="E298">
        <f>COUNTIF(EXAMENES[CODIGO],Consulta1[[#This Row],[EXACOD]])</f>
        <v>1</v>
      </c>
      <c r="H298" t="s">
        <v>266</v>
      </c>
      <c r="I298" t="s">
        <v>267</v>
      </c>
      <c r="J298" t="s">
        <v>2</v>
      </c>
    </row>
    <row r="299" spans="1:10" x14ac:dyDescent="0.35">
      <c r="A299" t="s">
        <v>308</v>
      </c>
      <c r="B299" t="s">
        <v>309</v>
      </c>
      <c r="C299" t="s">
        <v>2</v>
      </c>
      <c r="E299">
        <f>COUNTIF(EXAMENES[CODIGO],Consulta1[[#This Row],[EXACOD]])</f>
        <v>1</v>
      </c>
      <c r="H299" t="s">
        <v>466</v>
      </c>
      <c r="I299" t="s">
        <v>467</v>
      </c>
      <c r="J299" t="s">
        <v>42</v>
      </c>
    </row>
    <row r="300" spans="1:10" x14ac:dyDescent="0.35">
      <c r="A300" t="s">
        <v>310</v>
      </c>
      <c r="B300" t="s">
        <v>311</v>
      </c>
      <c r="C300" t="s">
        <v>2</v>
      </c>
      <c r="E300">
        <f>COUNTIF(EXAMENES[CODIGO],Consulta1[[#This Row],[EXACOD]])</f>
        <v>1</v>
      </c>
      <c r="H300" t="s">
        <v>480</v>
      </c>
      <c r="I300" t="s">
        <v>481</v>
      </c>
      <c r="J300" t="s">
        <v>42</v>
      </c>
    </row>
    <row r="301" spans="1:10" x14ac:dyDescent="0.35">
      <c r="A301" t="s">
        <v>306</v>
      </c>
      <c r="B301" t="s">
        <v>307</v>
      </c>
      <c r="C301" t="s">
        <v>2</v>
      </c>
      <c r="E301">
        <f>COUNTIF(EXAMENES[CODIGO],Consulta1[[#This Row],[EXACOD]])</f>
        <v>1</v>
      </c>
      <c r="H301" t="s">
        <v>486</v>
      </c>
      <c r="I301" t="s">
        <v>487</v>
      </c>
      <c r="J301" t="s">
        <v>42</v>
      </c>
    </row>
    <row r="302" spans="1:10" x14ac:dyDescent="0.35">
      <c r="A302" t="s">
        <v>304</v>
      </c>
      <c r="B302" t="s">
        <v>305</v>
      </c>
      <c r="C302" t="s">
        <v>2</v>
      </c>
      <c r="E302">
        <f>COUNTIF(EXAMENES[CODIGO],Consulta1[[#This Row],[EXACOD]])</f>
        <v>1</v>
      </c>
      <c r="H302" t="s">
        <v>512</v>
      </c>
      <c r="I302" t="s">
        <v>513</v>
      </c>
      <c r="J302" t="s">
        <v>42</v>
      </c>
    </row>
    <row r="303" spans="1:10" x14ac:dyDescent="0.35">
      <c r="A303" t="s">
        <v>316</v>
      </c>
      <c r="B303" t="s">
        <v>317</v>
      </c>
      <c r="C303" t="s">
        <v>2</v>
      </c>
      <c r="E303">
        <f>COUNTIF(EXAMENES[CODIGO],Consulta1[[#This Row],[EXACOD]])</f>
        <v>1</v>
      </c>
      <c r="H303" t="s">
        <v>808</v>
      </c>
      <c r="I303" t="s">
        <v>809</v>
      </c>
      <c r="J303" t="s">
        <v>42</v>
      </c>
    </row>
    <row r="304" spans="1:10" x14ac:dyDescent="0.35">
      <c r="A304" t="s">
        <v>0</v>
      </c>
      <c r="B304" t="s">
        <v>1</v>
      </c>
      <c r="C304" t="s">
        <v>2</v>
      </c>
      <c r="E304">
        <f>COUNTIF(EXAMENES[CODIGO],Consulta1[[#This Row],[EXACOD]])</f>
        <v>1</v>
      </c>
      <c r="H304" t="s">
        <v>810</v>
      </c>
      <c r="I304" t="s">
        <v>811</v>
      </c>
      <c r="J304" t="s">
        <v>42</v>
      </c>
    </row>
    <row r="305" spans="1:10" x14ac:dyDescent="0.35">
      <c r="A305" t="s">
        <v>276</v>
      </c>
      <c r="B305" t="s">
        <v>277</v>
      </c>
      <c r="C305" t="s">
        <v>2</v>
      </c>
      <c r="E305">
        <f>COUNTIF(EXAMENES[CODIGO],Consulta1[[#This Row],[EXACOD]])</f>
        <v>1</v>
      </c>
      <c r="H305" t="s">
        <v>812</v>
      </c>
      <c r="I305" t="s">
        <v>813</v>
      </c>
      <c r="J305" t="s">
        <v>42</v>
      </c>
    </row>
    <row r="306" spans="1:10" x14ac:dyDescent="0.35">
      <c r="A306" t="s">
        <v>266</v>
      </c>
      <c r="B306" t="s">
        <v>267</v>
      </c>
      <c r="C306" t="s">
        <v>2</v>
      </c>
      <c r="E306">
        <f>COUNTIF(EXAMENES[CODIGO],Consulta1[[#This Row],[EXACOD]])</f>
        <v>1</v>
      </c>
      <c r="H306" t="s">
        <v>814</v>
      </c>
      <c r="I306" t="s">
        <v>815</v>
      </c>
      <c r="J306" t="s">
        <v>42</v>
      </c>
    </row>
    <row r="307" spans="1:10" x14ac:dyDescent="0.35">
      <c r="A307" t="s">
        <v>386</v>
      </c>
      <c r="B307" t="s">
        <v>387</v>
      </c>
      <c r="C307" t="s">
        <v>2</v>
      </c>
      <c r="E307">
        <f>COUNTIF(EXAMENES[CODIGO],Consulta1[[#This Row],[EXACOD]])</f>
        <v>1</v>
      </c>
      <c r="H307" t="s">
        <v>816</v>
      </c>
      <c r="I307" t="s">
        <v>817</v>
      </c>
      <c r="J307" t="s">
        <v>42</v>
      </c>
    </row>
    <row r="308" spans="1:10" x14ac:dyDescent="0.35">
      <c r="A308" t="s">
        <v>326</v>
      </c>
      <c r="B308" t="s">
        <v>327</v>
      </c>
      <c r="C308" t="s">
        <v>2</v>
      </c>
      <c r="E308">
        <f>COUNTIF(EXAMENES[CODIGO],Consulta1[[#This Row],[EXACOD]])</f>
        <v>1</v>
      </c>
      <c r="H308" t="s">
        <v>40</v>
      </c>
      <c r="I308" t="s">
        <v>41</v>
      </c>
      <c r="J308" t="s">
        <v>42</v>
      </c>
    </row>
    <row r="309" spans="1:10" x14ac:dyDescent="0.35">
      <c r="A309" t="s">
        <v>398</v>
      </c>
      <c r="B309" t="s">
        <v>399</v>
      </c>
      <c r="C309" t="s">
        <v>2</v>
      </c>
      <c r="E309">
        <f>COUNTIF(EXAMENES[CODIGO],Consulta1[[#This Row],[EXACOD]])</f>
        <v>1</v>
      </c>
      <c r="H309" t="s">
        <v>53</v>
      </c>
      <c r="I309" t="s">
        <v>54</v>
      </c>
      <c r="J309" t="s">
        <v>42</v>
      </c>
    </row>
    <row r="310" spans="1:10" x14ac:dyDescent="0.35">
      <c r="A310" t="s">
        <v>380</v>
      </c>
      <c r="B310" t="s">
        <v>381</v>
      </c>
      <c r="C310" t="s">
        <v>2</v>
      </c>
      <c r="E310">
        <f>COUNTIF(EXAMENES[CODIGO],Consulta1[[#This Row],[EXACOD]])</f>
        <v>1</v>
      </c>
      <c r="H310" t="s">
        <v>118</v>
      </c>
      <c r="I310" t="s">
        <v>119</v>
      </c>
      <c r="J310" t="s">
        <v>42</v>
      </c>
    </row>
    <row r="311" spans="1:10" x14ac:dyDescent="0.35">
      <c r="A311" t="s">
        <v>288</v>
      </c>
      <c r="B311" t="s">
        <v>289</v>
      </c>
      <c r="C311" t="s">
        <v>2</v>
      </c>
      <c r="E311">
        <f>COUNTIF(EXAMENES[CODIGO],Consulta1[[#This Row],[EXACOD]])</f>
        <v>1</v>
      </c>
      <c r="H311" t="s">
        <v>158</v>
      </c>
      <c r="I311" t="s">
        <v>159</v>
      </c>
      <c r="J311" t="s">
        <v>42</v>
      </c>
    </row>
    <row r="312" spans="1:10" x14ac:dyDescent="0.35">
      <c r="A312" t="s">
        <v>284</v>
      </c>
      <c r="B312" t="s">
        <v>285</v>
      </c>
      <c r="C312" t="s">
        <v>2</v>
      </c>
      <c r="E312">
        <f>COUNTIF(EXAMENES[CODIGO],Consulta1[[#This Row],[EXACOD]])</f>
        <v>1</v>
      </c>
      <c r="H312" t="s">
        <v>126</v>
      </c>
      <c r="I312" t="s">
        <v>127</v>
      </c>
      <c r="J312" t="s">
        <v>42</v>
      </c>
    </row>
    <row r="313" spans="1:10" x14ac:dyDescent="0.35">
      <c r="A313" t="s">
        <v>272</v>
      </c>
      <c r="B313" t="s">
        <v>273</v>
      </c>
      <c r="C313" t="s">
        <v>2</v>
      </c>
      <c r="E313">
        <f>COUNTIF(EXAMENES[CODIGO],Consulta1[[#This Row],[EXACOD]])</f>
        <v>1</v>
      </c>
      <c r="H313" t="s">
        <v>166</v>
      </c>
      <c r="I313" t="s">
        <v>167</v>
      </c>
      <c r="J313" t="s">
        <v>42</v>
      </c>
    </row>
    <row r="314" spans="1:10" x14ac:dyDescent="0.35">
      <c r="A314" t="s">
        <v>294</v>
      </c>
      <c r="B314" t="s">
        <v>295</v>
      </c>
      <c r="C314" t="s">
        <v>2</v>
      </c>
      <c r="E314">
        <f>COUNTIF(EXAMENES[CODIGO],Consulta1[[#This Row],[EXACOD]])</f>
        <v>1</v>
      </c>
      <c r="H314" t="s">
        <v>172</v>
      </c>
      <c r="I314" t="s">
        <v>173</v>
      </c>
      <c r="J314" t="s">
        <v>42</v>
      </c>
    </row>
    <row r="315" spans="1:10" x14ac:dyDescent="0.35">
      <c r="A315" t="s">
        <v>292</v>
      </c>
      <c r="B315" t="s">
        <v>293</v>
      </c>
      <c r="C315" t="s">
        <v>2</v>
      </c>
      <c r="E315">
        <f>COUNTIF(EXAMENES[CODIGO],Consulta1[[#This Row],[EXACOD]])</f>
        <v>1</v>
      </c>
      <c r="H315" t="s">
        <v>190</v>
      </c>
      <c r="I315" t="s">
        <v>191</v>
      </c>
      <c r="J315" t="s">
        <v>42</v>
      </c>
    </row>
    <row r="316" spans="1:10" x14ac:dyDescent="0.35">
      <c r="A316" t="s">
        <v>384</v>
      </c>
      <c r="B316" t="s">
        <v>385</v>
      </c>
      <c r="C316" t="s">
        <v>2</v>
      </c>
      <c r="E316">
        <f>COUNTIF(EXAMENES[CODIGO],Consulta1[[#This Row],[EXACOD]])</f>
        <v>1</v>
      </c>
      <c r="H316" t="s">
        <v>194</v>
      </c>
      <c r="I316" t="s">
        <v>195</v>
      </c>
      <c r="J316" t="s">
        <v>42</v>
      </c>
    </row>
    <row r="317" spans="1:10" x14ac:dyDescent="0.35">
      <c r="A317" t="s">
        <v>368</v>
      </c>
      <c r="B317" t="s">
        <v>369</v>
      </c>
      <c r="C317" t="s">
        <v>2</v>
      </c>
      <c r="E317">
        <f>COUNTIF(EXAMENES[CODIGO],Consulta1[[#This Row],[EXACOD]])</f>
        <v>1</v>
      </c>
      <c r="H317" t="s">
        <v>71</v>
      </c>
      <c r="I317" t="s">
        <v>72</v>
      </c>
      <c r="J317" t="s">
        <v>42</v>
      </c>
    </row>
    <row r="318" spans="1:10" x14ac:dyDescent="0.35">
      <c r="A318" t="s">
        <v>280</v>
      </c>
      <c r="B318" t="s">
        <v>281</v>
      </c>
      <c r="C318" t="s">
        <v>2</v>
      </c>
      <c r="E318">
        <f>COUNTIF(EXAMENES[CODIGO],Consulta1[[#This Row],[EXACOD]])</f>
        <v>1</v>
      </c>
      <c r="H318" t="s">
        <v>128</v>
      </c>
      <c r="I318" t="s">
        <v>129</v>
      </c>
      <c r="J318" t="s">
        <v>42</v>
      </c>
    </row>
    <row r="319" spans="1:10" x14ac:dyDescent="0.35">
      <c r="A319" t="s">
        <v>274</v>
      </c>
      <c r="B319" t="s">
        <v>275</v>
      </c>
      <c r="C319" t="s">
        <v>2</v>
      </c>
      <c r="E319">
        <f>COUNTIF(EXAMENES[CODIGO],Consulta1[[#This Row],[EXACOD]])</f>
        <v>1</v>
      </c>
      <c r="H319" t="s">
        <v>154</v>
      </c>
      <c r="I319" t="s">
        <v>155</v>
      </c>
      <c r="J319" t="s">
        <v>42</v>
      </c>
    </row>
    <row r="320" spans="1:10" x14ac:dyDescent="0.35">
      <c r="A320" t="s">
        <v>404</v>
      </c>
      <c r="B320" t="s">
        <v>405</v>
      </c>
      <c r="C320" t="s">
        <v>2</v>
      </c>
      <c r="E320">
        <f>COUNTIF(EXAMENES[CODIGO],Consulta1[[#This Row],[EXACOD]])</f>
        <v>1</v>
      </c>
      <c r="H320" t="s">
        <v>188</v>
      </c>
      <c r="I320" t="s">
        <v>189</v>
      </c>
      <c r="J320" t="s">
        <v>42</v>
      </c>
    </row>
    <row r="321" spans="1:10" x14ac:dyDescent="0.35">
      <c r="A321" t="s">
        <v>416</v>
      </c>
      <c r="B321" t="s">
        <v>417</v>
      </c>
      <c r="C321" t="s">
        <v>2</v>
      </c>
      <c r="E321">
        <f>COUNTIF(EXAMENES[CODIGO],Consulta1[[#This Row],[EXACOD]])</f>
        <v>1</v>
      </c>
      <c r="H321" t="s">
        <v>470</v>
      </c>
      <c r="I321" t="s">
        <v>471</v>
      </c>
      <c r="J321" t="s">
        <v>42</v>
      </c>
    </row>
    <row r="322" spans="1:10" x14ac:dyDescent="0.35">
      <c r="A322" t="s">
        <v>314</v>
      </c>
      <c r="B322" t="s">
        <v>315</v>
      </c>
      <c r="C322" t="s">
        <v>2</v>
      </c>
      <c r="E322">
        <f>COUNTIF(EXAMENES[CODIGO],Consulta1[[#This Row],[EXACOD]])</f>
        <v>1</v>
      </c>
      <c r="H322" t="s">
        <v>818</v>
      </c>
      <c r="I322" t="s">
        <v>819</v>
      </c>
      <c r="J322" t="s">
        <v>42</v>
      </c>
    </row>
    <row r="323" spans="1:10" x14ac:dyDescent="0.35">
      <c r="A323" t="s">
        <v>290</v>
      </c>
      <c r="B323" t="s">
        <v>291</v>
      </c>
      <c r="C323" t="s">
        <v>2</v>
      </c>
      <c r="E323">
        <f>COUNTIF(EXAMENES[CODIGO],Consulta1[[#This Row],[EXACOD]])</f>
        <v>1</v>
      </c>
      <c r="H323" t="s">
        <v>202</v>
      </c>
      <c r="I323" t="s">
        <v>203</v>
      </c>
      <c r="J323" t="s">
        <v>42</v>
      </c>
    </row>
    <row r="324" spans="1:10" x14ac:dyDescent="0.35">
      <c r="A324" t="s">
        <v>270</v>
      </c>
      <c r="B324" t="s">
        <v>271</v>
      </c>
      <c r="C324" t="s">
        <v>2</v>
      </c>
      <c r="E324">
        <f>COUNTIF(EXAMENES[CODIGO],Consulta1[[#This Row],[EXACOD]])</f>
        <v>1</v>
      </c>
      <c r="H324" t="s">
        <v>206</v>
      </c>
      <c r="I324" t="s">
        <v>207</v>
      </c>
      <c r="J324" t="s">
        <v>42</v>
      </c>
    </row>
    <row r="325" spans="1:10" x14ac:dyDescent="0.35">
      <c r="A325" t="s">
        <v>298</v>
      </c>
      <c r="B325" t="s">
        <v>299</v>
      </c>
      <c r="C325" t="s">
        <v>2</v>
      </c>
      <c r="E325">
        <f>COUNTIF(EXAMENES[CODIGO],Consulta1[[#This Row],[EXACOD]])</f>
        <v>1</v>
      </c>
      <c r="H325" t="s">
        <v>820</v>
      </c>
      <c r="I325" t="s">
        <v>821</v>
      </c>
      <c r="J325" t="s">
        <v>42</v>
      </c>
    </row>
    <row r="326" spans="1:10" x14ac:dyDescent="0.35">
      <c r="A326" t="s">
        <v>424</v>
      </c>
      <c r="B326" t="s">
        <v>425</v>
      </c>
      <c r="C326" t="s">
        <v>2</v>
      </c>
      <c r="E326">
        <f>COUNTIF(EXAMENES[CODIGO],Consulta1[[#This Row],[EXACOD]])</f>
        <v>1</v>
      </c>
      <c r="H326" t="s">
        <v>822</v>
      </c>
      <c r="I326" t="s">
        <v>823</v>
      </c>
      <c r="J326" t="s">
        <v>42</v>
      </c>
    </row>
    <row r="327" spans="1:10" x14ac:dyDescent="0.35">
      <c r="A327" t="s">
        <v>320</v>
      </c>
      <c r="B327" t="s">
        <v>321</v>
      </c>
      <c r="C327" t="s">
        <v>2</v>
      </c>
      <c r="E327">
        <f>COUNTIF(EXAMENES[CODIGO],Consulta1[[#This Row],[EXACOD]])</f>
        <v>1</v>
      </c>
      <c r="H327" t="s">
        <v>45</v>
      </c>
      <c r="I327" t="s">
        <v>46</v>
      </c>
      <c r="J327" t="s">
        <v>42</v>
      </c>
    </row>
    <row r="328" spans="1:10" x14ac:dyDescent="0.35">
      <c r="A328" t="s">
        <v>318</v>
      </c>
      <c r="B328" t="s">
        <v>319</v>
      </c>
      <c r="C328" t="s">
        <v>2</v>
      </c>
      <c r="E328">
        <f>COUNTIF(EXAMENES[CODIGO],Consulta1[[#This Row],[EXACOD]])</f>
        <v>1</v>
      </c>
      <c r="H328" t="s">
        <v>164</v>
      </c>
      <c r="I328" t="s">
        <v>165</v>
      </c>
      <c r="J328" t="s">
        <v>42</v>
      </c>
    </row>
    <row r="329" spans="1:10" x14ac:dyDescent="0.35">
      <c r="A329" t="s">
        <v>394</v>
      </c>
      <c r="B329" t="s">
        <v>395</v>
      </c>
      <c r="C329" t="s">
        <v>2</v>
      </c>
      <c r="E329">
        <f>COUNTIF(EXAMENES[CODIGO],Consulta1[[#This Row],[EXACOD]])</f>
        <v>1</v>
      </c>
      <c r="H329" t="s">
        <v>61</v>
      </c>
      <c r="I329" t="s">
        <v>62</v>
      </c>
      <c r="J329" t="s">
        <v>42</v>
      </c>
    </row>
    <row r="330" spans="1:10" x14ac:dyDescent="0.35">
      <c r="A330" t="s">
        <v>390</v>
      </c>
      <c r="B330" t="s">
        <v>391</v>
      </c>
      <c r="C330" t="s">
        <v>2</v>
      </c>
      <c r="E330">
        <f>COUNTIF(EXAMENES[CODIGO],Consulta1[[#This Row],[EXACOD]])</f>
        <v>1</v>
      </c>
      <c r="H330" t="s">
        <v>124</v>
      </c>
      <c r="I330" t="s">
        <v>125</v>
      </c>
      <c r="J330" t="s">
        <v>42</v>
      </c>
    </row>
    <row r="331" spans="1:10" x14ac:dyDescent="0.35">
      <c r="A331" t="s">
        <v>420</v>
      </c>
      <c r="B331" t="s">
        <v>421</v>
      </c>
      <c r="C331" t="s">
        <v>2</v>
      </c>
      <c r="E331">
        <f>COUNTIF(EXAMENES[CODIGO],Consulta1[[#This Row],[EXACOD]])</f>
        <v>1</v>
      </c>
      <c r="H331" t="s">
        <v>198</v>
      </c>
      <c r="I331" t="s">
        <v>199</v>
      </c>
      <c r="J331" t="s">
        <v>42</v>
      </c>
    </row>
    <row r="332" spans="1:10" x14ac:dyDescent="0.35">
      <c r="A332" t="s">
        <v>422</v>
      </c>
      <c r="B332" t="s">
        <v>423</v>
      </c>
      <c r="C332" t="s">
        <v>2</v>
      </c>
      <c r="E332">
        <f>COUNTIF(EXAMENES[CODIGO],Consulta1[[#This Row],[EXACOD]])</f>
        <v>1</v>
      </c>
      <c r="H332" t="s">
        <v>73</v>
      </c>
      <c r="I332" t="s">
        <v>74</v>
      </c>
      <c r="J332" t="s">
        <v>42</v>
      </c>
    </row>
    <row r="333" spans="1:10" x14ac:dyDescent="0.35">
      <c r="A333" t="s">
        <v>430</v>
      </c>
      <c r="B333" t="s">
        <v>431</v>
      </c>
      <c r="C333" t="s">
        <v>2</v>
      </c>
      <c r="E333">
        <f>COUNTIF(EXAMENES[CODIGO],Consulta1[[#This Row],[EXACOD]])</f>
        <v>1</v>
      </c>
      <c r="H333" t="s">
        <v>492</v>
      </c>
      <c r="I333" t="s">
        <v>493</v>
      </c>
      <c r="J333" t="s">
        <v>42</v>
      </c>
    </row>
    <row r="334" spans="1:10" x14ac:dyDescent="0.35">
      <c r="A334" t="s">
        <v>312</v>
      </c>
      <c r="B334" t="s">
        <v>313</v>
      </c>
      <c r="C334" t="s">
        <v>2</v>
      </c>
      <c r="E334">
        <f>COUNTIF(EXAMENES[CODIGO],Consulta1[[#This Row],[EXACOD]])</f>
        <v>1</v>
      </c>
      <c r="H334" t="s">
        <v>500</v>
      </c>
      <c r="I334" t="s">
        <v>501</v>
      </c>
      <c r="J334" t="s">
        <v>42</v>
      </c>
    </row>
    <row r="335" spans="1:10" x14ac:dyDescent="0.35">
      <c r="A335" t="s">
        <v>504</v>
      </c>
      <c r="B335" t="s">
        <v>505</v>
      </c>
      <c r="C335" t="s">
        <v>2</v>
      </c>
      <c r="E335">
        <f>COUNTIF(EXAMENES[CODIGO],Consulta1[[#This Row],[EXACOD]])</f>
        <v>1</v>
      </c>
      <c r="H335" t="s">
        <v>502</v>
      </c>
      <c r="I335" t="s">
        <v>503</v>
      </c>
      <c r="J335" t="s">
        <v>42</v>
      </c>
    </row>
    <row r="336" spans="1:10" x14ac:dyDescent="0.35">
      <c r="A336" t="s">
        <v>482</v>
      </c>
      <c r="B336" t="s">
        <v>483</v>
      </c>
      <c r="C336" t="s">
        <v>2</v>
      </c>
      <c r="E336">
        <f>COUNTIF(EXAMENES[CODIGO],Consulta1[[#This Row],[EXACOD]])</f>
        <v>1</v>
      </c>
      <c r="H336" t="s">
        <v>510</v>
      </c>
      <c r="I336" t="s">
        <v>511</v>
      </c>
      <c r="J336" t="s">
        <v>42</v>
      </c>
    </row>
    <row r="337" spans="1:10" x14ac:dyDescent="0.35">
      <c r="A337" t="s">
        <v>460</v>
      </c>
      <c r="B337" t="s">
        <v>461</v>
      </c>
      <c r="C337" t="s">
        <v>2</v>
      </c>
      <c r="E337">
        <f>COUNTIF(EXAMENES[CODIGO],Consulta1[[#This Row],[EXACOD]])</f>
        <v>1</v>
      </c>
      <c r="H337" t="s">
        <v>756</v>
      </c>
      <c r="I337" t="s">
        <v>757</v>
      </c>
      <c r="J337" t="s">
        <v>42</v>
      </c>
    </row>
    <row r="338" spans="1:10" x14ac:dyDescent="0.35">
      <c r="A338" t="s">
        <v>40</v>
      </c>
      <c r="B338" t="s">
        <v>41</v>
      </c>
      <c r="C338" t="s">
        <v>42</v>
      </c>
      <c r="E338">
        <f>COUNTIF(EXAMENES[CODIGO],Consulta1[[#This Row],[EXACOD]])</f>
        <v>1</v>
      </c>
      <c r="H338" t="s">
        <v>761</v>
      </c>
      <c r="I338" t="s">
        <v>762</v>
      </c>
      <c r="J338" t="s">
        <v>42</v>
      </c>
    </row>
    <row r="339" spans="1:10" x14ac:dyDescent="0.35">
      <c r="A339" t="s">
        <v>43</v>
      </c>
      <c r="B339" t="s">
        <v>44</v>
      </c>
      <c r="C339" t="s">
        <v>42</v>
      </c>
      <c r="E339">
        <f>COUNTIF(EXAMENES[CODIGO],Consulta1[[#This Row],[EXACOD]])</f>
        <v>1</v>
      </c>
      <c r="H339" t="s">
        <v>208</v>
      </c>
      <c r="I339" t="s">
        <v>209</v>
      </c>
      <c r="J339" t="s">
        <v>42</v>
      </c>
    </row>
    <row r="340" spans="1:10" x14ac:dyDescent="0.35">
      <c r="A340" t="s">
        <v>202</v>
      </c>
      <c r="B340" t="s">
        <v>203</v>
      </c>
      <c r="C340" t="s">
        <v>42</v>
      </c>
      <c r="E340">
        <f>COUNTIF(EXAMENES[CODIGO],Consulta1[[#This Row],[EXACOD]])</f>
        <v>1</v>
      </c>
      <c r="H340" t="s">
        <v>216</v>
      </c>
      <c r="I340" t="s">
        <v>217</v>
      </c>
      <c r="J340" t="s">
        <v>42</v>
      </c>
    </row>
    <row r="341" spans="1:10" x14ac:dyDescent="0.35">
      <c r="A341" t="s">
        <v>45</v>
      </c>
      <c r="B341" t="s">
        <v>46</v>
      </c>
      <c r="C341" t="s">
        <v>42</v>
      </c>
      <c r="E341">
        <f>COUNTIF(EXAMENES[CODIGO],Consulta1[[#This Row],[EXACOD]])</f>
        <v>1</v>
      </c>
      <c r="H341" t="s">
        <v>824</v>
      </c>
      <c r="I341" t="s">
        <v>825</v>
      </c>
      <c r="J341" t="s">
        <v>42</v>
      </c>
    </row>
    <row r="342" spans="1:10" x14ac:dyDescent="0.35">
      <c r="A342" t="s">
        <v>912</v>
      </c>
      <c r="B342" t="s">
        <v>913</v>
      </c>
      <c r="C342" t="s">
        <v>42</v>
      </c>
      <c r="E342">
        <f>COUNTIF(EXAMENES[CODIGO],Consulta1[[#This Row],[EXACOD]])</f>
        <v>0</v>
      </c>
      <c r="H342" t="s">
        <v>826</v>
      </c>
      <c r="I342" t="s">
        <v>827</v>
      </c>
      <c r="J342" t="s">
        <v>42</v>
      </c>
    </row>
    <row r="343" spans="1:10" x14ac:dyDescent="0.35">
      <c r="A343" t="s">
        <v>47</v>
      </c>
      <c r="B343" t="s">
        <v>48</v>
      </c>
      <c r="C343" t="s">
        <v>42</v>
      </c>
      <c r="E343">
        <f>COUNTIF(EXAMENES[CODIGO],Consulta1[[#This Row],[EXACOD]])</f>
        <v>1</v>
      </c>
      <c r="H343" t="s">
        <v>828</v>
      </c>
      <c r="I343" t="s">
        <v>829</v>
      </c>
      <c r="J343" t="s">
        <v>42</v>
      </c>
    </row>
    <row r="344" spans="1:10" x14ac:dyDescent="0.35">
      <c r="A344" t="s">
        <v>204</v>
      </c>
      <c r="B344" t="s">
        <v>205</v>
      </c>
      <c r="C344" t="s">
        <v>42</v>
      </c>
      <c r="E344">
        <f>COUNTIF(EXAMENES[CODIGO],Consulta1[[#This Row],[EXACOD]])</f>
        <v>1</v>
      </c>
      <c r="H344" t="s">
        <v>47</v>
      </c>
      <c r="I344" t="s">
        <v>48</v>
      </c>
      <c r="J344" t="s">
        <v>42</v>
      </c>
    </row>
    <row r="345" spans="1:10" x14ac:dyDescent="0.35">
      <c r="A345" t="s">
        <v>875</v>
      </c>
      <c r="B345" t="s">
        <v>926</v>
      </c>
      <c r="C345" t="s">
        <v>42</v>
      </c>
      <c r="E345">
        <f>COUNTIF(EXAMENES[CODIGO],Consulta1[[#This Row],[EXACOD]])</f>
        <v>0</v>
      </c>
      <c r="H345" t="s">
        <v>176</v>
      </c>
      <c r="I345" t="s">
        <v>177</v>
      </c>
      <c r="J345" t="s">
        <v>42</v>
      </c>
    </row>
    <row r="346" spans="1:10" x14ac:dyDescent="0.35">
      <c r="A346" t="s">
        <v>55</v>
      </c>
      <c r="B346" t="s">
        <v>56</v>
      </c>
      <c r="C346" t="s">
        <v>42</v>
      </c>
      <c r="E346">
        <f>COUNTIF(EXAMENES[CODIGO],Consulta1[[#This Row],[EXACOD]])</f>
        <v>1</v>
      </c>
      <c r="H346" t="s">
        <v>160</v>
      </c>
      <c r="I346" t="s">
        <v>161</v>
      </c>
      <c r="J346" t="s">
        <v>42</v>
      </c>
    </row>
    <row r="347" spans="1:10" x14ac:dyDescent="0.35">
      <c r="A347" t="s">
        <v>49</v>
      </c>
      <c r="B347" t="s">
        <v>50</v>
      </c>
      <c r="C347" t="s">
        <v>42</v>
      </c>
      <c r="E347">
        <f>COUNTIF(EXAMENES[CODIGO],Consulta1[[#This Row],[EXACOD]])</f>
        <v>1</v>
      </c>
      <c r="H347" t="s">
        <v>162</v>
      </c>
      <c r="I347" t="s">
        <v>163</v>
      </c>
      <c r="J347" t="s">
        <v>42</v>
      </c>
    </row>
    <row r="348" spans="1:10" x14ac:dyDescent="0.35">
      <c r="A348" t="s">
        <v>51</v>
      </c>
      <c r="B348" t="s">
        <v>52</v>
      </c>
      <c r="C348" t="s">
        <v>42</v>
      </c>
      <c r="E348">
        <f>COUNTIF(EXAMENES[CODIGO],Consulta1[[#This Row],[EXACOD]])</f>
        <v>1</v>
      </c>
      <c r="H348" t="s">
        <v>168</v>
      </c>
      <c r="I348" t="s">
        <v>169</v>
      </c>
      <c r="J348" t="s">
        <v>42</v>
      </c>
    </row>
    <row r="349" spans="1:10" x14ac:dyDescent="0.35">
      <c r="A349" t="s">
        <v>53</v>
      </c>
      <c r="B349" t="s">
        <v>54</v>
      </c>
      <c r="C349" t="s">
        <v>42</v>
      </c>
      <c r="E349">
        <f>COUNTIF(EXAMENES[CODIGO],Consulta1[[#This Row],[EXACOD]])</f>
        <v>1</v>
      </c>
      <c r="H349" t="s">
        <v>494</v>
      </c>
      <c r="I349" t="s">
        <v>495</v>
      </c>
      <c r="J349" t="s">
        <v>42</v>
      </c>
    </row>
    <row r="350" spans="1:10" x14ac:dyDescent="0.35">
      <c r="A350" t="s">
        <v>206</v>
      </c>
      <c r="B350" t="s">
        <v>207</v>
      </c>
      <c r="C350" t="s">
        <v>42</v>
      </c>
      <c r="E350">
        <f>COUNTIF(EXAMENES[CODIGO],Consulta1[[#This Row],[EXACOD]])</f>
        <v>1</v>
      </c>
      <c r="H350" t="s">
        <v>468</v>
      </c>
      <c r="I350" t="s">
        <v>469</v>
      </c>
      <c r="J350" t="s">
        <v>42</v>
      </c>
    </row>
    <row r="351" spans="1:10" x14ac:dyDescent="0.35">
      <c r="A351" t="s">
        <v>57</v>
      </c>
      <c r="B351" t="s">
        <v>58</v>
      </c>
      <c r="C351" t="s">
        <v>42</v>
      </c>
      <c r="E351">
        <f>COUNTIF(EXAMENES[CODIGO],Consulta1[[#This Row],[EXACOD]])</f>
        <v>1</v>
      </c>
      <c r="H351" t="s">
        <v>484</v>
      </c>
      <c r="I351" t="s">
        <v>485</v>
      </c>
      <c r="J351" t="s">
        <v>42</v>
      </c>
    </row>
    <row r="352" spans="1:10" x14ac:dyDescent="0.35">
      <c r="A352" t="s">
        <v>138</v>
      </c>
      <c r="B352" t="s">
        <v>139</v>
      </c>
      <c r="C352" t="s">
        <v>42</v>
      </c>
      <c r="E352">
        <f>COUNTIF(EXAMENES[CODIGO],Consulta1[[#This Row],[EXACOD]])</f>
        <v>1</v>
      </c>
      <c r="H352" t="s">
        <v>759</v>
      </c>
      <c r="I352" t="s">
        <v>760</v>
      </c>
      <c r="J352" t="s">
        <v>42</v>
      </c>
    </row>
    <row r="353" spans="1:10" x14ac:dyDescent="0.35">
      <c r="A353" t="s">
        <v>158</v>
      </c>
      <c r="B353" t="s">
        <v>159</v>
      </c>
      <c r="C353" t="s">
        <v>42</v>
      </c>
      <c r="E353">
        <f>COUNTIF(EXAMENES[CODIGO],Consulta1[[#This Row],[EXACOD]])</f>
        <v>1</v>
      </c>
      <c r="H353" t="s">
        <v>506</v>
      </c>
      <c r="I353" t="s">
        <v>507</v>
      </c>
      <c r="J353" t="s">
        <v>42</v>
      </c>
    </row>
    <row r="354" spans="1:10" x14ac:dyDescent="0.35">
      <c r="A354" t="s">
        <v>915</v>
      </c>
      <c r="B354" t="s">
        <v>916</v>
      </c>
      <c r="C354" t="s">
        <v>42</v>
      </c>
      <c r="E354">
        <f>COUNTIF(EXAMENES[CODIGO],Consulta1[[#This Row],[EXACOD]])</f>
        <v>0</v>
      </c>
      <c r="H354" t="s">
        <v>830</v>
      </c>
      <c r="I354" t="s">
        <v>831</v>
      </c>
      <c r="J354" t="s">
        <v>42</v>
      </c>
    </row>
    <row r="355" spans="1:10" x14ac:dyDescent="0.35">
      <c r="A355" t="s">
        <v>118</v>
      </c>
      <c r="B355" t="s">
        <v>119</v>
      </c>
      <c r="C355" t="s">
        <v>42</v>
      </c>
      <c r="E355">
        <f>COUNTIF(EXAMENES[CODIGO],Consulta1[[#This Row],[EXACOD]])</f>
        <v>1</v>
      </c>
      <c r="H355" t="s">
        <v>43</v>
      </c>
      <c r="I355" t="s">
        <v>44</v>
      </c>
      <c r="J355" t="s">
        <v>42</v>
      </c>
    </row>
    <row r="356" spans="1:10" x14ac:dyDescent="0.35">
      <c r="A356" t="s">
        <v>150</v>
      </c>
      <c r="B356" t="s">
        <v>151</v>
      </c>
      <c r="C356" t="s">
        <v>42</v>
      </c>
      <c r="E356">
        <f>COUNTIF(EXAMENES[CODIGO],Consulta1[[#This Row],[EXACOD]])</f>
        <v>1</v>
      </c>
      <c r="H356" t="s">
        <v>122</v>
      </c>
      <c r="I356" t="s">
        <v>123</v>
      </c>
      <c r="J356" t="s">
        <v>42</v>
      </c>
    </row>
    <row r="357" spans="1:10" x14ac:dyDescent="0.35">
      <c r="A357" t="s">
        <v>164</v>
      </c>
      <c r="B357" t="s">
        <v>165</v>
      </c>
      <c r="C357" t="s">
        <v>42</v>
      </c>
      <c r="E357">
        <f>COUNTIF(EXAMENES[CODIGO],Consulta1[[#This Row],[EXACOD]])</f>
        <v>1</v>
      </c>
      <c r="H357" t="s">
        <v>65</v>
      </c>
      <c r="I357" t="s">
        <v>66</v>
      </c>
      <c r="J357" t="s">
        <v>42</v>
      </c>
    </row>
    <row r="358" spans="1:10" x14ac:dyDescent="0.35">
      <c r="A358" t="s">
        <v>170</v>
      </c>
      <c r="B358" t="s">
        <v>171</v>
      </c>
      <c r="C358" t="s">
        <v>42</v>
      </c>
      <c r="E358">
        <f>COUNTIF(EXAMENES[CODIGO],Consulta1[[#This Row],[EXACOD]])</f>
        <v>1</v>
      </c>
      <c r="H358" t="s">
        <v>832</v>
      </c>
      <c r="I358" t="s">
        <v>833</v>
      </c>
      <c r="J358" t="s">
        <v>42</v>
      </c>
    </row>
    <row r="359" spans="1:10" x14ac:dyDescent="0.35">
      <c r="A359" t="s">
        <v>176</v>
      </c>
      <c r="B359" t="s">
        <v>177</v>
      </c>
      <c r="C359" t="s">
        <v>42</v>
      </c>
      <c r="E359">
        <f>COUNTIF(EXAMENES[CODIGO],Consulta1[[#This Row],[EXACOD]])</f>
        <v>1</v>
      </c>
      <c r="H359" t="s">
        <v>338</v>
      </c>
      <c r="I359" t="s">
        <v>339</v>
      </c>
      <c r="J359" t="s">
        <v>42</v>
      </c>
    </row>
    <row r="360" spans="1:10" x14ac:dyDescent="0.35">
      <c r="A360" t="s">
        <v>59</v>
      </c>
      <c r="B360" t="s">
        <v>60</v>
      </c>
      <c r="C360" t="s">
        <v>42</v>
      </c>
      <c r="E360">
        <f>COUNTIF(EXAMENES[CODIGO],Consulta1[[#This Row],[EXACOD]])</f>
        <v>1</v>
      </c>
      <c r="H360" t="s">
        <v>456</v>
      </c>
      <c r="I360" t="s">
        <v>457</v>
      </c>
      <c r="J360" t="s">
        <v>42</v>
      </c>
    </row>
    <row r="361" spans="1:10" x14ac:dyDescent="0.35">
      <c r="A361" t="s">
        <v>120</v>
      </c>
      <c r="B361" t="s">
        <v>121</v>
      </c>
      <c r="C361" t="s">
        <v>42</v>
      </c>
      <c r="E361">
        <f>COUNTIF(EXAMENES[CODIGO],Consulta1[[#This Row],[EXACOD]])</f>
        <v>1</v>
      </c>
      <c r="H361" t="s">
        <v>458</v>
      </c>
      <c r="I361" t="s">
        <v>459</v>
      </c>
      <c r="J361" t="s">
        <v>42</v>
      </c>
    </row>
    <row r="362" spans="1:10" x14ac:dyDescent="0.35">
      <c r="A362" t="s">
        <v>208</v>
      </c>
      <c r="B362" t="s">
        <v>209</v>
      </c>
      <c r="C362" t="s">
        <v>42</v>
      </c>
      <c r="E362">
        <f>COUNTIF(EXAMENES[CODIGO],Consulta1[[#This Row],[EXACOD]])</f>
        <v>1</v>
      </c>
      <c r="H362" t="s">
        <v>476</v>
      </c>
      <c r="I362" t="s">
        <v>477</v>
      </c>
      <c r="J362" t="s">
        <v>42</v>
      </c>
    </row>
    <row r="363" spans="1:10" x14ac:dyDescent="0.35">
      <c r="A363" t="s">
        <v>61</v>
      </c>
      <c r="B363" t="s">
        <v>62</v>
      </c>
      <c r="C363" t="s">
        <v>42</v>
      </c>
      <c r="E363">
        <f>COUNTIF(EXAMENES[CODIGO],Consulta1[[#This Row],[EXACOD]])</f>
        <v>1</v>
      </c>
      <c r="H363" t="s">
        <v>482</v>
      </c>
      <c r="I363" t="s">
        <v>483</v>
      </c>
      <c r="J363" t="s">
        <v>42</v>
      </c>
    </row>
    <row r="364" spans="1:10" x14ac:dyDescent="0.35">
      <c r="A364" t="s">
        <v>122</v>
      </c>
      <c r="B364" t="s">
        <v>123</v>
      </c>
      <c r="C364" t="s">
        <v>42</v>
      </c>
      <c r="E364">
        <f>COUNTIF(EXAMENES[CODIGO],Consulta1[[#This Row],[EXACOD]])</f>
        <v>1</v>
      </c>
      <c r="H364" t="s">
        <v>498</v>
      </c>
      <c r="I364" t="s">
        <v>499</v>
      </c>
      <c r="J364" t="s">
        <v>42</v>
      </c>
    </row>
    <row r="365" spans="1:10" x14ac:dyDescent="0.35">
      <c r="A365" t="s">
        <v>1009</v>
      </c>
      <c r="B365" t="s">
        <v>1010</v>
      </c>
      <c r="C365" t="s">
        <v>42</v>
      </c>
      <c r="E365">
        <f>COUNTIF(EXAMENES[CODIGO],Consulta1[[#This Row],[EXACOD]])</f>
        <v>0</v>
      </c>
      <c r="H365" t="s">
        <v>504</v>
      </c>
      <c r="I365" t="s">
        <v>505</v>
      </c>
      <c r="J365" t="s">
        <v>42</v>
      </c>
    </row>
    <row r="366" spans="1:10" x14ac:dyDescent="0.35">
      <c r="A366" t="s">
        <v>63</v>
      </c>
      <c r="B366" t="s">
        <v>64</v>
      </c>
      <c r="C366" t="s">
        <v>42</v>
      </c>
      <c r="E366">
        <f>COUNTIF(EXAMENES[CODIGO],Consulta1[[#This Row],[EXACOD]])</f>
        <v>1</v>
      </c>
      <c r="H366" t="s">
        <v>63</v>
      </c>
      <c r="I366" t="s">
        <v>64</v>
      </c>
      <c r="J366" t="s">
        <v>42</v>
      </c>
    </row>
    <row r="367" spans="1:10" x14ac:dyDescent="0.35">
      <c r="A367" t="s">
        <v>210</v>
      </c>
      <c r="B367" t="s">
        <v>211</v>
      </c>
      <c r="C367" t="s">
        <v>42</v>
      </c>
      <c r="E367">
        <f>COUNTIF(EXAMENES[CODIGO],Consulta1[[#This Row],[EXACOD]])</f>
        <v>1</v>
      </c>
      <c r="H367" t="s">
        <v>69</v>
      </c>
      <c r="I367" t="s">
        <v>70</v>
      </c>
      <c r="J367" t="s">
        <v>42</v>
      </c>
    </row>
    <row r="368" spans="1:10" x14ac:dyDescent="0.35">
      <c r="A368" t="s">
        <v>65</v>
      </c>
      <c r="B368" t="s">
        <v>66</v>
      </c>
      <c r="C368" t="s">
        <v>42</v>
      </c>
      <c r="E368">
        <f>COUNTIF(EXAMENES[CODIGO],Consulta1[[#This Row],[EXACOD]])</f>
        <v>1</v>
      </c>
      <c r="H368" t="s">
        <v>182</v>
      </c>
      <c r="I368" t="s">
        <v>183</v>
      </c>
      <c r="J368" t="s">
        <v>42</v>
      </c>
    </row>
    <row r="369" spans="1:10" x14ac:dyDescent="0.35">
      <c r="A369" t="s">
        <v>212</v>
      </c>
      <c r="B369" t="s">
        <v>213</v>
      </c>
      <c r="C369" t="s">
        <v>42</v>
      </c>
      <c r="E369">
        <f>COUNTIF(EXAMENES[CODIGO],Consulta1[[#This Row],[EXACOD]])</f>
        <v>1</v>
      </c>
      <c r="H369" t="s">
        <v>180</v>
      </c>
      <c r="I369" t="s">
        <v>181</v>
      </c>
      <c r="J369" t="s">
        <v>42</v>
      </c>
    </row>
    <row r="370" spans="1:10" x14ac:dyDescent="0.35">
      <c r="A370" t="s">
        <v>124</v>
      </c>
      <c r="B370" t="s">
        <v>125</v>
      </c>
      <c r="C370" t="s">
        <v>42</v>
      </c>
      <c r="E370">
        <f>COUNTIF(EXAMENES[CODIGO],Consulta1[[#This Row],[EXACOD]])</f>
        <v>1</v>
      </c>
      <c r="H370" t="s">
        <v>472</v>
      </c>
      <c r="I370" t="s">
        <v>473</v>
      </c>
      <c r="J370" t="s">
        <v>42</v>
      </c>
    </row>
    <row r="371" spans="1:10" x14ac:dyDescent="0.35">
      <c r="A371" t="s">
        <v>67</v>
      </c>
      <c r="B371" t="s">
        <v>68</v>
      </c>
      <c r="C371" t="s">
        <v>42</v>
      </c>
      <c r="E371">
        <f>COUNTIF(EXAMENES[CODIGO],Consulta1[[#This Row],[EXACOD]])</f>
        <v>1</v>
      </c>
      <c r="H371" t="s">
        <v>462</v>
      </c>
      <c r="I371" t="s">
        <v>463</v>
      </c>
      <c r="J371" t="s">
        <v>42</v>
      </c>
    </row>
    <row r="372" spans="1:10" x14ac:dyDescent="0.35">
      <c r="A372" t="s">
        <v>214</v>
      </c>
      <c r="B372" t="s">
        <v>215</v>
      </c>
      <c r="C372" t="s">
        <v>42</v>
      </c>
      <c r="E372">
        <f>COUNTIF(EXAMENES[CODIGO],Consulta1[[#This Row],[EXACOD]])</f>
        <v>1</v>
      </c>
      <c r="H372" t="s">
        <v>474</v>
      </c>
      <c r="I372" t="s">
        <v>475</v>
      </c>
      <c r="J372" t="s">
        <v>42</v>
      </c>
    </row>
    <row r="373" spans="1:10" x14ac:dyDescent="0.35">
      <c r="A373" t="s">
        <v>920</v>
      </c>
      <c r="B373" t="s">
        <v>921</v>
      </c>
      <c r="C373" t="s">
        <v>42</v>
      </c>
      <c r="E373">
        <f>COUNTIF(EXAMENES[CODIGO],Consulta1[[#This Row],[EXACOD]])</f>
        <v>0</v>
      </c>
      <c r="H373" t="s">
        <v>488</v>
      </c>
      <c r="I373" t="s">
        <v>489</v>
      </c>
      <c r="J373" t="s">
        <v>42</v>
      </c>
    </row>
    <row r="374" spans="1:10" x14ac:dyDescent="0.35">
      <c r="A374" t="s">
        <v>830</v>
      </c>
      <c r="B374" t="s">
        <v>831</v>
      </c>
      <c r="C374" t="s">
        <v>42</v>
      </c>
      <c r="E374">
        <f>COUNTIF(EXAMENES[CODIGO],Consulta1[[#This Row],[EXACOD]])</f>
        <v>1</v>
      </c>
      <c r="H374" t="s">
        <v>490</v>
      </c>
      <c r="I374" t="s">
        <v>491</v>
      </c>
      <c r="J374" t="s">
        <v>42</v>
      </c>
    </row>
    <row r="375" spans="1:10" x14ac:dyDescent="0.35">
      <c r="A375" t="s">
        <v>69</v>
      </c>
      <c r="B375" t="s">
        <v>70</v>
      </c>
      <c r="C375" t="s">
        <v>42</v>
      </c>
      <c r="E375">
        <f>COUNTIF(EXAMENES[CODIGO],Consulta1[[#This Row],[EXACOD]])</f>
        <v>1</v>
      </c>
      <c r="H375" t="s">
        <v>758</v>
      </c>
      <c r="I375" t="s">
        <v>507</v>
      </c>
      <c r="J375" t="s">
        <v>42</v>
      </c>
    </row>
    <row r="376" spans="1:10" x14ac:dyDescent="0.35">
      <c r="A376" t="s">
        <v>126</v>
      </c>
      <c r="B376" t="s">
        <v>127</v>
      </c>
      <c r="C376" t="s">
        <v>42</v>
      </c>
      <c r="E376">
        <f>COUNTIF(EXAMENES[CODIGO],Consulta1[[#This Row],[EXACOD]])</f>
        <v>1</v>
      </c>
      <c r="H376" t="s">
        <v>210</v>
      </c>
      <c r="I376" t="s">
        <v>211</v>
      </c>
      <c r="J376" t="s">
        <v>42</v>
      </c>
    </row>
    <row r="377" spans="1:10" x14ac:dyDescent="0.35">
      <c r="A377" t="s">
        <v>140</v>
      </c>
      <c r="B377" t="s">
        <v>141</v>
      </c>
      <c r="C377" t="s">
        <v>42</v>
      </c>
      <c r="E377">
        <f>COUNTIF(EXAMENES[CODIGO],Consulta1[[#This Row],[EXACOD]])</f>
        <v>1</v>
      </c>
      <c r="H377" t="s">
        <v>834</v>
      </c>
      <c r="I377" t="s">
        <v>835</v>
      </c>
      <c r="J377" t="s">
        <v>42</v>
      </c>
    </row>
    <row r="378" spans="1:10" x14ac:dyDescent="0.35">
      <c r="A378" t="s">
        <v>152</v>
      </c>
      <c r="B378" t="s">
        <v>153</v>
      </c>
      <c r="C378" t="s">
        <v>42</v>
      </c>
      <c r="E378">
        <f>COUNTIF(EXAMENES[CODIGO],Consulta1[[#This Row],[EXACOD]])</f>
        <v>1</v>
      </c>
    </row>
    <row r="379" spans="1:10" x14ac:dyDescent="0.35">
      <c r="A379" t="s">
        <v>160</v>
      </c>
      <c r="B379" t="s">
        <v>161</v>
      </c>
      <c r="C379" t="s">
        <v>42</v>
      </c>
      <c r="E379">
        <f>COUNTIF(EXAMENES[CODIGO],Consulta1[[#This Row],[EXACOD]])</f>
        <v>1</v>
      </c>
    </row>
    <row r="380" spans="1:10" x14ac:dyDescent="0.35">
      <c r="A380" t="s">
        <v>166</v>
      </c>
      <c r="B380" t="s">
        <v>167</v>
      </c>
      <c r="C380" t="s">
        <v>42</v>
      </c>
      <c r="E380">
        <f>COUNTIF(EXAMENES[CODIGO],Consulta1[[#This Row],[EXACOD]])</f>
        <v>1</v>
      </c>
    </row>
    <row r="381" spans="1:10" x14ac:dyDescent="0.35">
      <c r="A381" t="s">
        <v>172</v>
      </c>
      <c r="B381" t="s">
        <v>173</v>
      </c>
      <c r="C381" t="s">
        <v>42</v>
      </c>
      <c r="E381">
        <f>COUNTIF(EXAMENES[CODIGO],Consulta1[[#This Row],[EXACOD]])</f>
        <v>1</v>
      </c>
    </row>
    <row r="382" spans="1:10" x14ac:dyDescent="0.35">
      <c r="A382" t="s">
        <v>178</v>
      </c>
      <c r="B382" t="s">
        <v>179</v>
      </c>
      <c r="C382" t="s">
        <v>42</v>
      </c>
      <c r="E382">
        <f>COUNTIF(EXAMENES[CODIGO],Consulta1[[#This Row],[EXACOD]])</f>
        <v>1</v>
      </c>
    </row>
    <row r="383" spans="1:10" x14ac:dyDescent="0.35">
      <c r="A383" t="s">
        <v>182</v>
      </c>
      <c r="B383" t="s">
        <v>183</v>
      </c>
      <c r="C383" t="s">
        <v>42</v>
      </c>
      <c r="E383">
        <f>COUNTIF(EXAMENES[CODIGO],Consulta1[[#This Row],[EXACOD]])</f>
        <v>1</v>
      </c>
    </row>
    <row r="384" spans="1:10" x14ac:dyDescent="0.35">
      <c r="A384" t="s">
        <v>186</v>
      </c>
      <c r="B384" t="s">
        <v>187</v>
      </c>
      <c r="C384" t="s">
        <v>42</v>
      </c>
      <c r="E384">
        <f>COUNTIF(EXAMENES[CODIGO],Consulta1[[#This Row],[EXACOD]])</f>
        <v>1</v>
      </c>
    </row>
    <row r="385" spans="1:5" x14ac:dyDescent="0.35">
      <c r="A385" t="s">
        <v>190</v>
      </c>
      <c r="B385" t="s">
        <v>191</v>
      </c>
      <c r="C385" t="s">
        <v>42</v>
      </c>
      <c r="E385">
        <f>COUNTIF(EXAMENES[CODIGO],Consulta1[[#This Row],[EXACOD]])</f>
        <v>1</v>
      </c>
    </row>
    <row r="386" spans="1:5" x14ac:dyDescent="0.35">
      <c r="A386" t="s">
        <v>194</v>
      </c>
      <c r="B386" t="s">
        <v>195</v>
      </c>
      <c r="C386" t="s">
        <v>42</v>
      </c>
      <c r="E386">
        <f>COUNTIF(EXAMENES[CODIGO],Consulta1[[#This Row],[EXACOD]])</f>
        <v>1</v>
      </c>
    </row>
    <row r="387" spans="1:5" x14ac:dyDescent="0.35">
      <c r="A387" t="s">
        <v>198</v>
      </c>
      <c r="B387" t="s">
        <v>199</v>
      </c>
      <c r="C387" t="s">
        <v>42</v>
      </c>
      <c r="E387">
        <f>COUNTIF(EXAMENES[CODIGO],Consulta1[[#This Row],[EXACOD]])</f>
        <v>1</v>
      </c>
    </row>
    <row r="388" spans="1:5" x14ac:dyDescent="0.35">
      <c r="A388" t="s">
        <v>71</v>
      </c>
      <c r="B388" t="s">
        <v>72</v>
      </c>
      <c r="C388" t="s">
        <v>42</v>
      </c>
      <c r="E388">
        <f>COUNTIF(EXAMENES[CODIGO],Consulta1[[#This Row],[EXACOD]])</f>
        <v>1</v>
      </c>
    </row>
    <row r="389" spans="1:5" x14ac:dyDescent="0.35">
      <c r="A389" t="s">
        <v>128</v>
      </c>
      <c r="B389" t="s">
        <v>129</v>
      </c>
      <c r="C389" t="s">
        <v>42</v>
      </c>
      <c r="E389">
        <f>COUNTIF(EXAMENES[CODIGO],Consulta1[[#This Row],[EXACOD]])</f>
        <v>1</v>
      </c>
    </row>
    <row r="390" spans="1:5" x14ac:dyDescent="0.35">
      <c r="A390" t="s">
        <v>142</v>
      </c>
      <c r="B390" t="s">
        <v>143</v>
      </c>
      <c r="C390" t="s">
        <v>42</v>
      </c>
      <c r="E390">
        <f>COUNTIF(EXAMENES[CODIGO],Consulta1[[#This Row],[EXACOD]])</f>
        <v>1</v>
      </c>
    </row>
    <row r="391" spans="1:5" x14ac:dyDescent="0.35">
      <c r="A391" t="s">
        <v>154</v>
      </c>
      <c r="B391" t="s">
        <v>155</v>
      </c>
      <c r="C391" t="s">
        <v>42</v>
      </c>
      <c r="E391">
        <f>COUNTIF(EXAMENES[CODIGO],Consulta1[[#This Row],[EXACOD]])</f>
        <v>1</v>
      </c>
    </row>
    <row r="392" spans="1:5" x14ac:dyDescent="0.35">
      <c r="A392" t="s">
        <v>162</v>
      </c>
      <c r="B392" t="s">
        <v>163</v>
      </c>
      <c r="C392" t="s">
        <v>42</v>
      </c>
      <c r="E392">
        <f>COUNTIF(EXAMENES[CODIGO],Consulta1[[#This Row],[EXACOD]])</f>
        <v>1</v>
      </c>
    </row>
    <row r="393" spans="1:5" x14ac:dyDescent="0.35">
      <c r="A393" t="s">
        <v>168</v>
      </c>
      <c r="B393" t="s">
        <v>169</v>
      </c>
      <c r="C393" t="s">
        <v>42</v>
      </c>
      <c r="E393">
        <f>COUNTIF(EXAMENES[CODIGO],Consulta1[[#This Row],[EXACOD]])</f>
        <v>1</v>
      </c>
    </row>
    <row r="394" spans="1:5" x14ac:dyDescent="0.35">
      <c r="A394" t="s">
        <v>174</v>
      </c>
      <c r="B394" t="s">
        <v>917</v>
      </c>
      <c r="C394" t="s">
        <v>42</v>
      </c>
      <c r="E394">
        <f>COUNTIF(EXAMENES[CODIGO],Consulta1[[#This Row],[EXACOD]])</f>
        <v>1</v>
      </c>
    </row>
    <row r="395" spans="1:5" x14ac:dyDescent="0.35">
      <c r="A395" t="s">
        <v>180</v>
      </c>
      <c r="B395" t="s">
        <v>181</v>
      </c>
      <c r="C395" t="s">
        <v>42</v>
      </c>
      <c r="E395">
        <f>COUNTIF(EXAMENES[CODIGO],Consulta1[[#This Row],[EXACOD]])</f>
        <v>1</v>
      </c>
    </row>
    <row r="396" spans="1:5" x14ac:dyDescent="0.35">
      <c r="A396" t="s">
        <v>184</v>
      </c>
      <c r="B396" t="s">
        <v>185</v>
      </c>
      <c r="C396" t="s">
        <v>42</v>
      </c>
      <c r="E396">
        <f>COUNTIF(EXAMENES[CODIGO],Consulta1[[#This Row],[EXACOD]])</f>
        <v>1</v>
      </c>
    </row>
    <row r="397" spans="1:5" x14ac:dyDescent="0.35">
      <c r="A397" t="s">
        <v>188</v>
      </c>
      <c r="B397" t="s">
        <v>189</v>
      </c>
      <c r="C397" t="s">
        <v>42</v>
      </c>
      <c r="E397">
        <f>COUNTIF(EXAMENES[CODIGO],Consulta1[[#This Row],[EXACOD]])</f>
        <v>1</v>
      </c>
    </row>
    <row r="398" spans="1:5" x14ac:dyDescent="0.35">
      <c r="A398" t="s">
        <v>192</v>
      </c>
      <c r="B398" t="s">
        <v>193</v>
      </c>
      <c r="C398" t="s">
        <v>42</v>
      </c>
      <c r="E398">
        <f>COUNTIF(EXAMENES[CODIGO],Consulta1[[#This Row],[EXACOD]])</f>
        <v>1</v>
      </c>
    </row>
    <row r="399" spans="1:5" x14ac:dyDescent="0.35">
      <c r="A399" t="s">
        <v>196</v>
      </c>
      <c r="B399" t="s">
        <v>197</v>
      </c>
      <c r="C399" t="s">
        <v>42</v>
      </c>
      <c r="E399">
        <f>COUNTIF(EXAMENES[CODIGO],Consulta1[[#This Row],[EXACOD]])</f>
        <v>1</v>
      </c>
    </row>
    <row r="400" spans="1:5" x14ac:dyDescent="0.35">
      <c r="A400" t="s">
        <v>73</v>
      </c>
      <c r="B400" t="s">
        <v>74</v>
      </c>
      <c r="C400" t="s">
        <v>42</v>
      </c>
      <c r="E400">
        <f>COUNTIF(EXAMENES[CODIGO],Consulta1[[#This Row],[EXACOD]])</f>
        <v>1</v>
      </c>
    </row>
    <row r="401" spans="1:5" x14ac:dyDescent="0.35">
      <c r="A401" t="s">
        <v>962</v>
      </c>
      <c r="B401" t="s">
        <v>1011</v>
      </c>
      <c r="C401" t="s">
        <v>42</v>
      </c>
      <c r="E401">
        <f>COUNTIF(EXAMENES[CODIGO],Consulta1[[#This Row],[EXACOD]])</f>
        <v>0</v>
      </c>
    </row>
    <row r="402" spans="1:5" x14ac:dyDescent="0.35">
      <c r="A402" t="s">
        <v>970</v>
      </c>
      <c r="B402" t="s">
        <v>971</v>
      </c>
      <c r="C402" t="s">
        <v>42</v>
      </c>
      <c r="E402">
        <f>COUNTIF(EXAMENES[CODIGO],Consulta1[[#This Row],[EXACOD]])</f>
        <v>0</v>
      </c>
    </row>
    <row r="403" spans="1:5" x14ac:dyDescent="0.35">
      <c r="A403" t="s">
        <v>1012</v>
      </c>
      <c r="B403" t="s">
        <v>1013</v>
      </c>
      <c r="C403" t="s">
        <v>42</v>
      </c>
      <c r="E403">
        <f>COUNTIF(EXAMENES[CODIGO],Consulta1[[#This Row],[EXACOD]])</f>
        <v>0</v>
      </c>
    </row>
    <row r="404" spans="1:5" x14ac:dyDescent="0.35">
      <c r="A404" t="s">
        <v>1014</v>
      </c>
      <c r="B404" t="s">
        <v>1015</v>
      </c>
      <c r="C404" t="s">
        <v>42</v>
      </c>
      <c r="E404">
        <v>1</v>
      </c>
    </row>
    <row r="405" spans="1:5" x14ac:dyDescent="0.35">
      <c r="A405" t="s">
        <v>959</v>
      </c>
      <c r="B405" t="s">
        <v>1016</v>
      </c>
      <c r="C405" t="s">
        <v>42</v>
      </c>
    </row>
    <row r="406" spans="1:5" x14ac:dyDescent="0.35">
      <c r="A406" t="s">
        <v>874</v>
      </c>
      <c r="B406" t="s">
        <v>914</v>
      </c>
      <c r="C406" t="s">
        <v>42</v>
      </c>
    </row>
    <row r="407" spans="1:5" x14ac:dyDescent="0.35">
      <c r="A407" t="s">
        <v>1017</v>
      </c>
      <c r="B407" t="s">
        <v>1018</v>
      </c>
      <c r="C407" t="s">
        <v>42</v>
      </c>
    </row>
    <row r="408" spans="1:5" x14ac:dyDescent="0.35">
      <c r="A408" t="s">
        <v>870</v>
      </c>
      <c r="B408" t="s">
        <v>925</v>
      </c>
      <c r="C408" t="s">
        <v>42</v>
      </c>
    </row>
    <row r="409" spans="1:5" x14ac:dyDescent="0.35">
      <c r="A409" t="s">
        <v>866</v>
      </c>
      <c r="B409" t="s">
        <v>941</v>
      </c>
      <c r="C409" t="s">
        <v>42</v>
      </c>
    </row>
    <row r="410" spans="1:5" x14ac:dyDescent="0.35">
      <c r="A410" t="s">
        <v>910</v>
      </c>
      <c r="B410" t="s">
        <v>911</v>
      </c>
      <c r="C410" t="s">
        <v>42</v>
      </c>
    </row>
    <row r="411" spans="1:5" x14ac:dyDescent="0.35">
      <c r="A411" t="s">
        <v>758</v>
      </c>
      <c r="B411" t="s">
        <v>507</v>
      </c>
      <c r="C411" t="s">
        <v>42</v>
      </c>
    </row>
    <row r="412" spans="1:5" x14ac:dyDescent="0.35">
      <c r="A412" t="s">
        <v>810</v>
      </c>
      <c r="B412" t="s">
        <v>811</v>
      </c>
      <c r="C412" t="s">
        <v>42</v>
      </c>
    </row>
    <row r="413" spans="1:5" x14ac:dyDescent="0.35">
      <c r="A413" t="s">
        <v>824</v>
      </c>
      <c r="B413" t="s">
        <v>825</v>
      </c>
      <c r="C413" t="s">
        <v>42</v>
      </c>
    </row>
    <row r="414" spans="1:5" x14ac:dyDescent="0.35">
      <c r="A414" t="s">
        <v>816</v>
      </c>
      <c r="B414" t="s">
        <v>817</v>
      </c>
      <c r="C414" t="s">
        <v>42</v>
      </c>
    </row>
    <row r="415" spans="1:5" x14ac:dyDescent="0.35">
      <c r="A415" t="s">
        <v>759</v>
      </c>
      <c r="B415" t="s">
        <v>760</v>
      </c>
      <c r="C415" t="s">
        <v>42</v>
      </c>
    </row>
    <row r="416" spans="1:5" x14ac:dyDescent="0.35">
      <c r="A416" t="s">
        <v>761</v>
      </c>
      <c r="B416" t="s">
        <v>762</v>
      </c>
      <c r="C416" t="s">
        <v>42</v>
      </c>
    </row>
    <row r="417" spans="1:3" x14ac:dyDescent="0.35">
      <c r="A417" t="s">
        <v>756</v>
      </c>
      <c r="B417" t="s">
        <v>757</v>
      </c>
      <c r="C417" t="s">
        <v>42</v>
      </c>
    </row>
    <row r="418" spans="1:3" x14ac:dyDescent="0.35">
      <c r="A418" t="s">
        <v>812</v>
      </c>
      <c r="B418" t="s">
        <v>813</v>
      </c>
      <c r="C418" t="s">
        <v>42</v>
      </c>
    </row>
    <row r="419" spans="1:3" x14ac:dyDescent="0.35">
      <c r="A419" t="s">
        <v>834</v>
      </c>
      <c r="B419" t="s">
        <v>835</v>
      </c>
      <c r="C419" t="s">
        <v>42</v>
      </c>
    </row>
    <row r="420" spans="1:3" x14ac:dyDescent="0.35">
      <c r="A420" t="s">
        <v>828</v>
      </c>
      <c r="B420" t="s">
        <v>829</v>
      </c>
      <c r="C420" t="s">
        <v>42</v>
      </c>
    </row>
    <row r="421" spans="1:3" x14ac:dyDescent="0.35">
      <c r="A421" t="s">
        <v>814</v>
      </c>
      <c r="B421" t="s">
        <v>815</v>
      </c>
      <c r="C421" t="s">
        <v>42</v>
      </c>
    </row>
    <row r="422" spans="1:3" x14ac:dyDescent="0.35">
      <c r="A422" t="s">
        <v>808</v>
      </c>
      <c r="B422" t="s">
        <v>809</v>
      </c>
      <c r="C422" t="s">
        <v>42</v>
      </c>
    </row>
    <row r="423" spans="1:3" x14ac:dyDescent="0.35">
      <c r="A423" t="s">
        <v>822</v>
      </c>
      <c r="B423" t="s">
        <v>823</v>
      </c>
      <c r="C423" t="s">
        <v>42</v>
      </c>
    </row>
    <row r="424" spans="1:3" x14ac:dyDescent="0.35">
      <c r="A424" t="s">
        <v>826</v>
      </c>
      <c r="B424" t="s">
        <v>827</v>
      </c>
      <c r="C424" t="s">
        <v>42</v>
      </c>
    </row>
    <row r="425" spans="1:3" x14ac:dyDescent="0.35">
      <c r="A425" t="s">
        <v>955</v>
      </c>
      <c r="B425" t="s">
        <v>1019</v>
      </c>
      <c r="C425" t="s">
        <v>42</v>
      </c>
    </row>
    <row r="426" spans="1:3" x14ac:dyDescent="0.35">
      <c r="A426" t="s">
        <v>1020</v>
      </c>
      <c r="B426" t="s">
        <v>1021</v>
      </c>
      <c r="C426" t="s">
        <v>42</v>
      </c>
    </row>
    <row r="427" spans="1:3" x14ac:dyDescent="0.35">
      <c r="A427" t="s">
        <v>1022</v>
      </c>
      <c r="B427" t="s">
        <v>1023</v>
      </c>
      <c r="C427" t="s">
        <v>42</v>
      </c>
    </row>
    <row r="428" spans="1:3" x14ac:dyDescent="0.35">
      <c r="A428" t="s">
        <v>952</v>
      </c>
      <c r="B428" t="s">
        <v>953</v>
      </c>
      <c r="C428" t="s">
        <v>42</v>
      </c>
    </row>
    <row r="429" spans="1:3" x14ac:dyDescent="0.35">
      <c r="A429" t="s">
        <v>1024</v>
      </c>
      <c r="B429" t="s">
        <v>1025</v>
      </c>
      <c r="C429" t="s">
        <v>42</v>
      </c>
    </row>
    <row r="430" spans="1:3" x14ac:dyDescent="0.35">
      <c r="A430" t="s">
        <v>1026</v>
      </c>
      <c r="B430" t="s">
        <v>1027</v>
      </c>
      <c r="C430" t="s">
        <v>42</v>
      </c>
    </row>
    <row r="431" spans="1:3" x14ac:dyDescent="0.35">
      <c r="A431" t="s">
        <v>957</v>
      </c>
      <c r="B431" t="s">
        <v>1028</v>
      </c>
      <c r="C431" t="s">
        <v>42</v>
      </c>
    </row>
    <row r="432" spans="1:3" x14ac:dyDescent="0.35">
      <c r="A432" t="s">
        <v>1029</v>
      </c>
      <c r="B432" t="s">
        <v>1030</v>
      </c>
      <c r="C432" t="s">
        <v>42</v>
      </c>
    </row>
    <row r="433" spans="1:3" x14ac:dyDescent="0.35">
      <c r="A433" t="s">
        <v>1031</v>
      </c>
      <c r="B433" t="s">
        <v>1032</v>
      </c>
      <c r="C433" t="s">
        <v>42</v>
      </c>
    </row>
    <row r="434" spans="1:3" x14ac:dyDescent="0.35">
      <c r="A434" t="s">
        <v>1033</v>
      </c>
      <c r="B434" t="s">
        <v>1034</v>
      </c>
      <c r="C434" t="s">
        <v>42</v>
      </c>
    </row>
    <row r="435" spans="1:3" x14ac:dyDescent="0.35">
      <c r="A435" t="s">
        <v>1035</v>
      </c>
      <c r="B435" t="s">
        <v>1036</v>
      </c>
      <c r="C435" t="s">
        <v>42</v>
      </c>
    </row>
    <row r="436" spans="1:3" x14ac:dyDescent="0.35">
      <c r="A436" t="s">
        <v>1037</v>
      </c>
      <c r="B436" t="s">
        <v>1038</v>
      </c>
      <c r="C436" t="s">
        <v>42</v>
      </c>
    </row>
    <row r="437" spans="1:3" x14ac:dyDescent="0.35">
      <c r="A437" t="s">
        <v>1039</v>
      </c>
      <c r="B437" t="s">
        <v>1040</v>
      </c>
      <c r="C437" t="s">
        <v>42</v>
      </c>
    </row>
    <row r="438" spans="1:3" x14ac:dyDescent="0.35">
      <c r="A438" t="s">
        <v>1041</v>
      </c>
      <c r="B438" t="s">
        <v>1042</v>
      </c>
      <c r="C438" t="s">
        <v>42</v>
      </c>
    </row>
    <row r="439" spans="1:3" x14ac:dyDescent="0.35">
      <c r="A439" t="s">
        <v>1043</v>
      </c>
      <c r="B439" t="s">
        <v>1044</v>
      </c>
      <c r="C439" t="s">
        <v>42</v>
      </c>
    </row>
    <row r="440" spans="1:3" x14ac:dyDescent="0.35">
      <c r="A440" t="s">
        <v>832</v>
      </c>
      <c r="B440" t="s">
        <v>833</v>
      </c>
      <c r="C440" t="s">
        <v>42</v>
      </c>
    </row>
    <row r="441" spans="1:3" x14ac:dyDescent="0.35">
      <c r="A441" t="s">
        <v>818</v>
      </c>
      <c r="B441" t="s">
        <v>819</v>
      </c>
      <c r="C441" t="s">
        <v>42</v>
      </c>
    </row>
    <row r="442" spans="1:3" x14ac:dyDescent="0.35">
      <c r="A442" t="s">
        <v>1045</v>
      </c>
      <c r="B442" t="s">
        <v>1046</v>
      </c>
      <c r="C442" t="s">
        <v>42</v>
      </c>
    </row>
    <row r="443" spans="1:3" x14ac:dyDescent="0.35">
      <c r="A443" t="s">
        <v>938</v>
      </c>
      <c r="B443" t="s">
        <v>939</v>
      </c>
      <c r="C443" t="s">
        <v>42</v>
      </c>
    </row>
    <row r="444" spans="1:3" x14ac:dyDescent="0.35">
      <c r="A444" t="s">
        <v>338</v>
      </c>
      <c r="B444" t="s">
        <v>1047</v>
      </c>
      <c r="C444" t="s">
        <v>42</v>
      </c>
    </row>
    <row r="445" spans="1:3" x14ac:dyDescent="0.35">
      <c r="A445" t="s">
        <v>936</v>
      </c>
      <c r="B445" t="s">
        <v>937</v>
      </c>
      <c r="C445" t="s">
        <v>42</v>
      </c>
    </row>
    <row r="446" spans="1:3" x14ac:dyDescent="0.35">
      <c r="A446" t="s">
        <v>468</v>
      </c>
      <c r="B446" t="s">
        <v>469</v>
      </c>
      <c r="C446" t="s">
        <v>42</v>
      </c>
    </row>
    <row r="447" spans="1:3" x14ac:dyDescent="0.35">
      <c r="A447" t="s">
        <v>488</v>
      </c>
      <c r="B447" t="s">
        <v>489</v>
      </c>
      <c r="C447" t="s">
        <v>42</v>
      </c>
    </row>
    <row r="448" spans="1:3" x14ac:dyDescent="0.35">
      <c r="A448" t="s">
        <v>490</v>
      </c>
      <c r="B448" t="s">
        <v>491</v>
      </c>
      <c r="C448" t="s">
        <v>42</v>
      </c>
    </row>
    <row r="449" spans="1:3" x14ac:dyDescent="0.35">
      <c r="A449" t="s">
        <v>474</v>
      </c>
      <c r="B449" t="s">
        <v>475</v>
      </c>
      <c r="C449" t="s">
        <v>42</v>
      </c>
    </row>
    <row r="450" spans="1:3" x14ac:dyDescent="0.35">
      <c r="A450" t="s">
        <v>480</v>
      </c>
      <c r="B450" t="s">
        <v>481</v>
      </c>
      <c r="C450" t="s">
        <v>42</v>
      </c>
    </row>
    <row r="451" spans="1:3" x14ac:dyDescent="0.35">
      <c r="A451" t="s">
        <v>458</v>
      </c>
      <c r="B451" t="s">
        <v>459</v>
      </c>
      <c r="C451" t="s">
        <v>42</v>
      </c>
    </row>
    <row r="452" spans="1:3" x14ac:dyDescent="0.35">
      <c r="A452" t="s">
        <v>476</v>
      </c>
      <c r="B452" t="s">
        <v>477</v>
      </c>
      <c r="C452" t="s">
        <v>42</v>
      </c>
    </row>
    <row r="453" spans="1:3" x14ac:dyDescent="0.35">
      <c r="A453" t="s">
        <v>478</v>
      </c>
      <c r="B453" t="s">
        <v>479</v>
      </c>
      <c r="C453" t="s">
        <v>42</v>
      </c>
    </row>
    <row r="454" spans="1:3" x14ac:dyDescent="0.35">
      <c r="A454" t="s">
        <v>500</v>
      </c>
      <c r="B454" t="s">
        <v>501</v>
      </c>
      <c r="C454" t="s">
        <v>42</v>
      </c>
    </row>
    <row r="455" spans="1:3" x14ac:dyDescent="0.35">
      <c r="A455" t="s">
        <v>498</v>
      </c>
      <c r="B455" t="s">
        <v>499</v>
      </c>
      <c r="C455" t="s">
        <v>42</v>
      </c>
    </row>
    <row r="456" spans="1:3" x14ac:dyDescent="0.35">
      <c r="A456" t="s">
        <v>466</v>
      </c>
      <c r="B456" t="s">
        <v>467</v>
      </c>
      <c r="C456" t="s">
        <v>42</v>
      </c>
    </row>
    <row r="457" spans="1:3" x14ac:dyDescent="0.35">
      <c r="A457" t="s">
        <v>1048</v>
      </c>
      <c r="B457" t="s">
        <v>1049</v>
      </c>
      <c r="C457" t="s">
        <v>42</v>
      </c>
    </row>
    <row r="458" spans="1:3" x14ac:dyDescent="0.35">
      <c r="A458" t="s">
        <v>464</v>
      </c>
      <c r="B458" t="s">
        <v>465</v>
      </c>
      <c r="C458" t="s">
        <v>42</v>
      </c>
    </row>
    <row r="459" spans="1:3" x14ac:dyDescent="0.35">
      <c r="A459" t="s">
        <v>496</v>
      </c>
      <c r="B459" t="s">
        <v>497</v>
      </c>
      <c r="C459" t="s">
        <v>42</v>
      </c>
    </row>
    <row r="460" spans="1:3" x14ac:dyDescent="0.35">
      <c r="A460" t="s">
        <v>462</v>
      </c>
      <c r="B460" t="s">
        <v>463</v>
      </c>
      <c r="C460" t="s">
        <v>42</v>
      </c>
    </row>
    <row r="461" spans="1:3" x14ac:dyDescent="0.35">
      <c r="A461" t="s">
        <v>484</v>
      </c>
      <c r="B461" t="s">
        <v>485</v>
      </c>
      <c r="C461" t="s">
        <v>42</v>
      </c>
    </row>
    <row r="462" spans="1:3" x14ac:dyDescent="0.35">
      <c r="A462" t="s">
        <v>486</v>
      </c>
      <c r="B462" t="s">
        <v>487</v>
      </c>
      <c r="C462" t="s">
        <v>42</v>
      </c>
    </row>
    <row r="463" spans="1:3" x14ac:dyDescent="0.35">
      <c r="A463" t="s">
        <v>508</v>
      </c>
      <c r="B463" t="s">
        <v>509</v>
      </c>
      <c r="C463" t="s">
        <v>42</v>
      </c>
    </row>
    <row r="464" spans="1:3" x14ac:dyDescent="0.35">
      <c r="A464" t="s">
        <v>1050</v>
      </c>
      <c r="B464" t="s">
        <v>1051</v>
      </c>
      <c r="C464" t="s">
        <v>42</v>
      </c>
    </row>
    <row r="465" spans="1:3" x14ac:dyDescent="0.35">
      <c r="A465" t="s">
        <v>1052</v>
      </c>
      <c r="B465" t="s">
        <v>1053</v>
      </c>
      <c r="C465" t="s">
        <v>42</v>
      </c>
    </row>
    <row r="466" spans="1:3" x14ac:dyDescent="0.35">
      <c r="A466" t="s">
        <v>502</v>
      </c>
      <c r="B466" t="s">
        <v>503</v>
      </c>
      <c r="C466" t="s">
        <v>42</v>
      </c>
    </row>
    <row r="467" spans="1:3" x14ac:dyDescent="0.35">
      <c r="A467" t="s">
        <v>1054</v>
      </c>
      <c r="B467" t="s">
        <v>1055</v>
      </c>
      <c r="C467" t="s">
        <v>42</v>
      </c>
    </row>
    <row r="468" spans="1:3" x14ac:dyDescent="0.35">
      <c r="A468" t="s">
        <v>1056</v>
      </c>
      <c r="B468" t="s">
        <v>1057</v>
      </c>
      <c r="C468" t="s">
        <v>42</v>
      </c>
    </row>
    <row r="469" spans="1:3" x14ac:dyDescent="0.35">
      <c r="A469" t="s">
        <v>470</v>
      </c>
      <c r="B469" t="s">
        <v>471</v>
      </c>
      <c r="C469" t="s">
        <v>42</v>
      </c>
    </row>
    <row r="470" spans="1:3" x14ac:dyDescent="0.35">
      <c r="A470" t="s">
        <v>872</v>
      </c>
      <c r="B470" t="s">
        <v>933</v>
      </c>
      <c r="C470" t="s">
        <v>42</v>
      </c>
    </row>
    <row r="471" spans="1:3" x14ac:dyDescent="0.35">
      <c r="A471" t="s">
        <v>927</v>
      </c>
      <c r="B471" t="s">
        <v>928</v>
      </c>
      <c r="C471" t="s">
        <v>42</v>
      </c>
    </row>
    <row r="472" spans="1:3" x14ac:dyDescent="0.35">
      <c r="A472" t="s">
        <v>1058</v>
      </c>
      <c r="B472" t="s">
        <v>1059</v>
      </c>
      <c r="C472" t="s">
        <v>42</v>
      </c>
    </row>
    <row r="473" spans="1:3" x14ac:dyDescent="0.35">
      <c r="A473" t="s">
        <v>510</v>
      </c>
      <c r="B473" t="s">
        <v>511</v>
      </c>
      <c r="C473" t="s">
        <v>42</v>
      </c>
    </row>
    <row r="474" spans="1:3" x14ac:dyDescent="0.35">
      <c r="A474" t="s">
        <v>492</v>
      </c>
      <c r="B474" t="s">
        <v>493</v>
      </c>
      <c r="C474" t="s">
        <v>42</v>
      </c>
    </row>
    <row r="475" spans="1:3" x14ac:dyDescent="0.35">
      <c r="A475" t="s">
        <v>1060</v>
      </c>
      <c r="B475" t="s">
        <v>1061</v>
      </c>
      <c r="C475" t="s">
        <v>42</v>
      </c>
    </row>
    <row r="476" spans="1:3" x14ac:dyDescent="0.35">
      <c r="A476" t="s">
        <v>1062</v>
      </c>
      <c r="B476" t="s">
        <v>1063</v>
      </c>
      <c r="C476" t="s">
        <v>42</v>
      </c>
    </row>
    <row r="477" spans="1:3" x14ac:dyDescent="0.35">
      <c r="A477" t="s">
        <v>1064</v>
      </c>
      <c r="B477" t="s">
        <v>1065</v>
      </c>
      <c r="C477" t="s">
        <v>42</v>
      </c>
    </row>
    <row r="478" spans="1:3" x14ac:dyDescent="0.35">
      <c r="A478" t="s">
        <v>506</v>
      </c>
      <c r="B478" t="s">
        <v>934</v>
      </c>
      <c r="C478" t="s">
        <v>42</v>
      </c>
    </row>
    <row r="479" spans="1:3" x14ac:dyDescent="0.35">
      <c r="A479" t="s">
        <v>494</v>
      </c>
      <c r="B479" t="s">
        <v>1066</v>
      </c>
      <c r="C479" t="s">
        <v>42</v>
      </c>
    </row>
    <row r="480" spans="1:3" x14ac:dyDescent="0.35">
      <c r="A480" t="s">
        <v>863</v>
      </c>
      <c r="B480" t="s">
        <v>922</v>
      </c>
      <c r="C480" t="s">
        <v>42</v>
      </c>
    </row>
    <row r="481" spans="1:3" x14ac:dyDescent="0.35">
      <c r="A481" t="s">
        <v>918</v>
      </c>
      <c r="B481" t="s">
        <v>919</v>
      </c>
      <c r="C481" t="s">
        <v>42</v>
      </c>
    </row>
    <row r="482" spans="1:3" x14ac:dyDescent="0.35">
      <c r="A482" t="s">
        <v>869</v>
      </c>
      <c r="B482" t="s">
        <v>940</v>
      </c>
      <c r="C482" t="s">
        <v>42</v>
      </c>
    </row>
    <row r="483" spans="1:3" x14ac:dyDescent="0.35">
      <c r="A483" t="s">
        <v>931</v>
      </c>
      <c r="B483" t="s">
        <v>932</v>
      </c>
      <c r="C483" t="s">
        <v>42</v>
      </c>
    </row>
    <row r="484" spans="1:3" x14ac:dyDescent="0.35">
      <c r="A484" t="s">
        <v>860</v>
      </c>
      <c r="B484" t="s">
        <v>935</v>
      </c>
      <c r="C484" t="s">
        <v>42</v>
      </c>
    </row>
    <row r="485" spans="1:3" x14ac:dyDescent="0.35">
      <c r="A485" t="s">
        <v>929</v>
      </c>
      <c r="B485" t="s">
        <v>930</v>
      </c>
      <c r="C485" t="s">
        <v>42</v>
      </c>
    </row>
    <row r="486" spans="1:3" x14ac:dyDescent="0.35">
      <c r="A486" t="s">
        <v>1067</v>
      </c>
      <c r="B486" t="s">
        <v>1068</v>
      </c>
      <c r="C486" t="s">
        <v>42</v>
      </c>
    </row>
    <row r="487" spans="1:3" x14ac:dyDescent="0.35">
      <c r="A487" t="s">
        <v>472</v>
      </c>
      <c r="B487" t="s">
        <v>473</v>
      </c>
      <c r="C487" t="s">
        <v>42</v>
      </c>
    </row>
    <row r="488" spans="1:3" x14ac:dyDescent="0.35">
      <c r="A488" t="s">
        <v>456</v>
      </c>
      <c r="B488" t="s">
        <v>457</v>
      </c>
      <c r="C488" t="s">
        <v>42</v>
      </c>
    </row>
    <row r="489" spans="1:3" x14ac:dyDescent="0.35">
      <c r="A489" t="s">
        <v>923</v>
      </c>
      <c r="B489" t="s">
        <v>924</v>
      </c>
      <c r="C489" t="s">
        <v>42</v>
      </c>
    </row>
    <row r="490" spans="1:3" x14ac:dyDescent="0.35">
      <c r="A490" t="s">
        <v>512</v>
      </c>
      <c r="B490" t="s">
        <v>513</v>
      </c>
      <c r="C490" t="s">
        <v>42</v>
      </c>
    </row>
    <row r="491" spans="1:3" x14ac:dyDescent="0.35">
      <c r="A491" t="s">
        <v>820</v>
      </c>
      <c r="B491" t="s">
        <v>821</v>
      </c>
      <c r="C491" t="s">
        <v>42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ADB33-3E94-419F-83ED-5324EC658C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VALOR DE EXAMENES JUNIO 2026</vt:lpstr>
      <vt:lpstr>DEGLUCION</vt:lpstr>
      <vt:lpstr>crear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Astrid Muñoz Garcia (Asistencial)</cp:lastModifiedBy>
  <dcterms:created xsi:type="dcterms:W3CDTF">2022-04-28T20:15:22Z</dcterms:created>
  <dcterms:modified xsi:type="dcterms:W3CDTF">2026-07-27T14:20:37Z</dcterms:modified>
</cp:coreProperties>
</file>